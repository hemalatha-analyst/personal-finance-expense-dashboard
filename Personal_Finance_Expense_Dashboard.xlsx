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emal\Downloads\"/>
    </mc:Choice>
  </mc:AlternateContent>
  <xr:revisionPtr revIDLastSave="0" documentId="8_{A5E6BBC6-3AC8-4609-9DD4-68BC69834CF7}" xr6:coauthVersionLast="47" xr6:coauthVersionMax="47" xr10:uidLastSave="{00000000-0000-0000-0000-000000000000}"/>
  <bookViews>
    <workbookView xWindow="-108" yWindow="-108" windowWidth="23256" windowHeight="12456" activeTab="5" xr2:uid="{D5C9A2C4-527D-4D01-B02E-5C45FAFB9BA3}"/>
  </bookViews>
  <sheets>
    <sheet name="Raw_Data" sheetId="1" r:id="rId1"/>
    <sheet name="Cleaned_Data" sheetId="2" r:id="rId2"/>
    <sheet name="Calculations" sheetId="3" r:id="rId3"/>
    <sheet name="KPI_Summary" sheetId="4" r:id="rId4"/>
    <sheet name="Pivot_Table" sheetId="5" r:id="rId5"/>
    <sheet name="Dashboard" sheetId="8" r:id="rId6"/>
  </sheets>
  <definedNames>
    <definedName name="Slicer_Expense_Type">#N/A</definedName>
    <definedName name="Slicer_Indicator">#N/A</definedName>
    <definedName name="Slicer_Month">#N/A</definedName>
    <definedName name="Slicer_Payment_Mode">#N/A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B2" i="4" l="1"/>
  <c r="B3" i="4"/>
  <c r="B4" i="4" l="1"/>
  <c r="B5" i="4" s="1"/>
</calcChain>
</file>

<file path=xl/sharedStrings.xml><?xml version="1.0" encoding="utf-8"?>
<sst xmlns="http://schemas.openxmlformats.org/spreadsheetml/2006/main" count="1133" uniqueCount="69">
  <si>
    <t>Date</t>
  </si>
  <si>
    <t>Month</t>
  </si>
  <si>
    <t>Income Source</t>
  </si>
  <si>
    <t>Expense Category</t>
  </si>
  <si>
    <t>Expense Type</t>
  </si>
  <si>
    <t>Payment Mode</t>
  </si>
  <si>
    <t>Amount</t>
  </si>
  <si>
    <t>Indicator</t>
  </si>
  <si>
    <t>Savings</t>
  </si>
  <si>
    <t>Budget Allocated</t>
  </si>
  <si>
    <t>Budget Remaining</t>
  </si>
  <si>
    <t>Notes</t>
  </si>
  <si>
    <t>Jan</t>
  </si>
  <si>
    <t>Salary</t>
  </si>
  <si>
    <t>Fixed</t>
  </si>
  <si>
    <t>Bank Transfer</t>
  </si>
  <si>
    <t>Income</t>
  </si>
  <si>
    <t>Rent</t>
  </si>
  <si>
    <t>Expense</t>
  </si>
  <si>
    <t>Food</t>
  </si>
  <si>
    <t>Variable</t>
  </si>
  <si>
    <t>UPI</t>
  </si>
  <si>
    <t>Lunch</t>
  </si>
  <si>
    <t>Freelance</t>
  </si>
  <si>
    <t>Travel</t>
  </si>
  <si>
    <t>Auto</t>
  </si>
  <si>
    <t>Shopping</t>
  </si>
  <si>
    <t>Credit Card</t>
  </si>
  <si>
    <t>Clothes</t>
  </si>
  <si>
    <t>Bills</t>
  </si>
  <si>
    <t>Electricity</t>
  </si>
  <si>
    <t>Dinner</t>
  </si>
  <si>
    <t>EMI</t>
  </si>
  <si>
    <t>Loan</t>
  </si>
  <si>
    <t>Bus</t>
  </si>
  <si>
    <t>Groceries</t>
  </si>
  <si>
    <t>Online</t>
  </si>
  <si>
    <t>Water</t>
  </si>
  <si>
    <t>Snacks</t>
  </si>
  <si>
    <t>Accessories</t>
  </si>
  <si>
    <t>Metro</t>
  </si>
  <si>
    <t>Internet</t>
  </si>
  <si>
    <t>Gas</t>
  </si>
  <si>
    <t>Feb</t>
  </si>
  <si>
    <t>Project</t>
  </si>
  <si>
    <t>Monthly salary</t>
  </si>
  <si>
    <t>House rent</t>
  </si>
  <si>
    <t>Project work</t>
  </si>
  <si>
    <t>Loan EMI</t>
  </si>
  <si>
    <t>Side gig</t>
  </si>
  <si>
    <t>Side work</t>
  </si>
  <si>
    <t>NA</t>
  </si>
  <si>
    <t>KPI</t>
  </si>
  <si>
    <t>Value</t>
  </si>
  <si>
    <t>Total Income</t>
  </si>
  <si>
    <t>Total Expense</t>
  </si>
  <si>
    <t>Net Savings</t>
  </si>
  <si>
    <t>Savings %</t>
  </si>
  <si>
    <t>Grand Total</t>
  </si>
  <si>
    <t>(All)</t>
  </si>
  <si>
    <t>Sum of Amount</t>
  </si>
  <si>
    <t>Expenses Category</t>
  </si>
  <si>
    <t>Expenses Type</t>
  </si>
  <si>
    <t>Expenses by Category</t>
  </si>
  <si>
    <t>Monthly Trend</t>
  </si>
  <si>
    <t>Expenses by Type</t>
  </si>
  <si>
    <t>Savings%</t>
  </si>
  <si>
    <t xml:space="preserve"> Income</t>
  </si>
  <si>
    <t>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</si>
</sst>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1" fillId="0" borderId="0" xfId="0" applyFont="1" applyAlignment="1">
      <alignment horizontal="center" vertical="center" wrapText="1"/>
    </xf>
    <xf numFmtId="0" fontId="0" fillId="0" borderId="0" xfId="0" applyAlignment="1">
      <alignment vertical="center"/>
    </xf>
    <xf numFmtId="0" fontId="0" fillId="0" borderId="0" xfId="0" pivotButton="1"/>
    <xf numFmtId="0" fontId="0" fillId="0" borderId="0" xfId="0" applyAlignment="1">
      <alignment horizontal="left"/>
    </xf>
    <xf numFmtId="164" fontId="0" fillId="0" borderId="0" xfId="0" applyNumberFormat="1"/>
    <xf numFmtId="0" fontId="4" fillId="0" borderId="0" xfId="0" applyFont="1"/>
    <xf numFmtId="0" fontId="3" fillId="0" borderId="0" xfId="0" applyFont="1"/>
    <xf numFmtId="0" fontId="0" fillId="2" borderId="0" xfId="0" applyFill="1"/>
    <xf numFmtId="10" fontId="0" fillId="0" borderId="0" xfId="0" applyNumberFormat="1"/>
    <xf numFmtId="165" fontId="0" fillId="0" borderId="0" xfId="0" applyNumberFormat="1" applyAlignment="1">
      <alignment vertical="center" wrapText="1"/>
    </xf>
    <xf numFmtId="165"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0" indent="0" justifyLastLine="0" shrinkToFit="0" readingOrder="0"/>
    </dxf>
    <dxf>
      <numFmt numFmtId="19" formatCode="dd/mm/yyyy"/>
    </dxf>
    <dxf>
      <numFmt numFmtId="19" formatCode="dd/mm/yyyy"/>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[Personal_Finance_Expense_Dashboard.xlsx]Pivot_Table!Pivot</c:name>
    <c:fmtId val="2"/>
  </c:pivotSource>
  <c:chart>
    <c:title>
      <c:tx>
        <c:strRef>
          <c:f>Pivot_Table!$A$2:$B$2</c:f>
          <c:strCache>
            <c:ptCount val="2"/>
            <c:pt idx="0">
              <c:v>Expenses by Category</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7.4482580655251219E-3"/>
              <c:y val="-4.687531719272214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4.480954553786274E-2"/>
          <c:y val="0.22884863952307474"/>
          <c:w val="0.93019854687554848"/>
          <c:h val="0.58139179780530326"/>
        </c:manualLayout>
      </c:layout>
      <c:barChart>
        <c:barDir val="col"/>
        <c:grouping val="clustered"/>
        <c:varyColors val="0"/>
        <c:ser>
          <c:idx val="0"/>
          <c:order val="0"/>
          <c:tx>
            <c:strRef>
              <c:f>Pivot_Table!$A$2:$B$2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4637-499E-A0F8-2E34DF9D0DB2}"/>
              </c:ext>
            </c:extLst>
          </c:dPt>
          <c:dLbls>
            <c:dLbl>
              <c:idx val="0"/>
              <c:layout>
                <c:manualLayout>
                  <c:x val="7.4482580655251219E-3"/>
                  <c:y val="-4.6875317192722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37-499E-A0F8-2E34DF9D0DB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Pivot_Table!$A$2:$B$2</c:f>
              <c:strCache>
                <c:ptCount val="8"/>
                <c:pt idx="0">
                  <c:v>Salary</c:v>
                </c:pt>
                <c:pt idx="1">
                  <c:v>Rent</c:v>
                </c:pt>
                <c:pt idx="2">
                  <c:v>Freelance</c:v>
                </c:pt>
                <c:pt idx="3">
                  <c:v>Shopping</c:v>
                </c:pt>
                <c:pt idx="4">
                  <c:v>EMI</c:v>
                </c:pt>
                <c:pt idx="5">
                  <c:v>Bills</c:v>
                </c:pt>
                <c:pt idx="6">
                  <c:v>Food</c:v>
                </c:pt>
                <c:pt idx="7">
                  <c:v>Travel</c:v>
                </c:pt>
              </c:strCache>
            </c:strRef>
          </c:cat>
          <c:val>
            <c:numRef>
              <c:f>Pivot_Table!$A$2:$B$2</c:f>
              <c:numCache>
                <c:formatCode>"₹"\ #,##0</c:formatCode>
                <c:ptCount val="8"/>
                <c:pt idx="0">
                  <c:v>100000</c:v>
                </c:pt>
                <c:pt idx="1">
                  <c:v>30000</c:v>
                </c:pt>
                <c:pt idx="2">
                  <c:v>26000</c:v>
                </c:pt>
                <c:pt idx="3">
                  <c:v>17400</c:v>
                </c:pt>
                <c:pt idx="4">
                  <c:v>10000</c:v>
                </c:pt>
                <c:pt idx="5">
                  <c:v>8000</c:v>
                </c:pt>
                <c:pt idx="6">
                  <c:v>7850</c:v>
                </c:pt>
                <c:pt idx="7">
                  <c:v>3600</c:v>
                </c:pt>
              </c:numCache>
            </c:numRef>
          </c:val>
          <c:extLst>
            <c:ext xmlns:c16="http://schemas.microsoft.com/office/drawing/2014/chart" uri="{C3380CC4-5D6E-409C-BE32-E72D297353CC}">
              <c16:uniqueId val="{00000000-4637-499E-A0F8-2E34DF9D0DB2}"/>
            </c:ext>
          </c:extLst>
        </c:ser>
        <c:dLbls>
          <c:dLblPos val="outEnd"/>
          <c:showLegendKey val="0"/>
          <c:showVal val="1"/>
          <c:showCatName val="0"/>
          <c:showSerName val="0"/>
          <c:showPercent val="0"/>
          <c:showBubbleSize val="0"/>
        </c:dLbls>
        <c:gapWidth val="65"/>
        <c:axId val="141280736"/>
        <c:axId val="141297536"/>
      </c:barChart>
      <c:catAx>
        <c:axId val="14128073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41297536"/>
        <c:crosses val="autoZero"/>
        <c:auto val="1"/>
        <c:lblAlgn val="ctr"/>
        <c:lblOffset val="100"/>
        <c:noMultiLvlLbl val="0"/>
      </c:catAx>
      <c:valAx>
        <c:axId val="141297536"/>
        <c:scaling>
          <c:orientation val="minMax"/>
        </c:scaling>
        <c:delete val="1"/>
        <c:axPos val="l"/>
        <c:numFmt formatCode="&quot;₹&quot;\ #,##0" sourceLinked="1"/>
        <c:majorTickMark val="out"/>
        <c:minorTickMark val="none"/>
        <c:tickLblPos val="nextTo"/>
        <c:crossAx val="141280736"/>
        <c:crosses val="autoZero"/>
        <c:crossBetween val="between"/>
      </c:valAx>
      <c:spPr>
        <a:noFill/>
        <a:ln>
          <a:noFill/>
        </a:ln>
        <a:effectLst>
          <a:outerShdw blurRad="50800" dist="50800" dir="5400000" algn="ctr" rotWithShape="0">
            <a:schemeClr val="accent1">
              <a:lumMod val="20000"/>
              <a:lumOff val="8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[Personal_Finance_Expense_Dashboard.xlsx]Pivot_Table!PivotTable5</c:name>
    <c:fmtId val="3"/>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sz="1800" b="1" i="0" u="none" strike="noStrike" cap="all" baseline="0">
                <a:solidFill>
                  <a:sysClr val="windowText" lastClr="000000"/>
                </a:solidFill>
                <a:effectLst/>
              </a:rPr>
              <a:t>Monthly Trend </a:t>
            </a:r>
            <a:endParaRPr lang="en-IN" sz="1800" b="1">
              <a:solidFill>
                <a:sysClr val="windowText" lastClr="000000"/>
              </a:solidFill>
            </a:endParaRPr>
          </a:p>
        </c:rich>
      </c:tx>
      <c:layout>
        <c:manualLayout>
          <c:xMode val="edge"/>
          <c:yMode val="edge"/>
          <c:x val="0.34825043409748097"/>
          <c:y val="2.3683637329291327E-2"/>
        </c:manualLayout>
      </c:layout>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26271844647205E-2"/>
          <c:y val="0.1741097468597092"/>
          <c:w val="0.93785310734463279"/>
          <c:h val="0.72873690058815643"/>
        </c:manualLayout>
      </c:layout>
      <c:lineChart>
        <c:grouping val="standard"/>
        <c:varyColors val="0"/>
        <c:ser>
          <c:idx val="0"/>
          <c:order val="0"/>
          <c:tx>
            <c:strRef>
              <c:f>Pivot_Table!$K$5</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Pivot_Table!$J$6:$J$8</c:f>
              <c:strCache>
                <c:ptCount val="2"/>
                <c:pt idx="0">
                  <c:v>Jan</c:v>
                </c:pt>
                <c:pt idx="1">
                  <c:v>Feb</c:v>
                </c:pt>
              </c:strCache>
            </c:strRef>
          </c:cat>
          <c:val>
            <c:numRef>
              <c:f>Pivot_Table!$K$6:$K$8</c:f>
              <c:numCache>
                <c:formatCode>"₹"\ #,##0</c:formatCode>
                <c:ptCount val="2"/>
                <c:pt idx="0">
                  <c:v>106600</c:v>
                </c:pt>
                <c:pt idx="1">
                  <c:v>96250</c:v>
                </c:pt>
              </c:numCache>
            </c:numRef>
          </c:val>
          <c:smooth val="0"/>
          <c:extLst>
            <c:ext xmlns:c16="http://schemas.microsoft.com/office/drawing/2014/chart" uri="{C3380CC4-5D6E-409C-BE32-E72D297353CC}">
              <c16:uniqueId val="{00000000-F196-4635-AC34-CAAC6B458860}"/>
            </c:ext>
          </c:extLst>
        </c:ser>
        <c:dLbls>
          <c:dLblPos val="ctr"/>
          <c:showLegendKey val="0"/>
          <c:showVal val="1"/>
          <c:showCatName val="0"/>
          <c:showSerName val="0"/>
          <c:showPercent val="0"/>
          <c:showBubbleSize val="0"/>
        </c:dLbls>
        <c:marker val="1"/>
        <c:smooth val="0"/>
        <c:axId val="640825760"/>
        <c:axId val="640821920"/>
      </c:lineChart>
      <c:catAx>
        <c:axId val="6408257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640821920"/>
        <c:crosses val="autoZero"/>
        <c:auto val="1"/>
        <c:lblAlgn val="ctr"/>
        <c:lblOffset val="100"/>
        <c:noMultiLvlLbl val="0"/>
      </c:catAx>
      <c:valAx>
        <c:axId val="640821920"/>
        <c:scaling>
          <c:orientation val="minMax"/>
        </c:scaling>
        <c:delete val="1"/>
        <c:axPos val="l"/>
        <c:numFmt formatCode="&quot;₹&quot;\ #,##0" sourceLinked="1"/>
        <c:majorTickMark val="none"/>
        <c:minorTickMark val="none"/>
        <c:tickLblPos val="nextTo"/>
        <c:crossAx val="640825760"/>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solidFill>
          <a:schemeClr val="tx2">
            <a:lumMod val="10000"/>
            <a:lumOff val="90000"/>
          </a:schemeClr>
        </a:solidFill>
        <a:ln>
          <a:noFill/>
        </a:ln>
        <a:effectLst>
          <a:outerShdw blurRad="50800" dist="50800" dir="5400000" algn="ctr" rotWithShape="0">
            <a:schemeClr val="accent1">
              <a:lumMod val="20000"/>
              <a:lumOff val="80000"/>
              <a:alpha val="77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a:outerShdw blurRad="50800" dist="50800" dir="54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[Personal_Finance_Expense_Dashboard.xlsx]Pivot_Table!PivotTable6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ysClr val="windowText" lastClr="000000"/>
                </a:solidFill>
              </a:rPr>
              <a:t>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3334735235242"/>
          <c:y val="0.23087744240303296"/>
          <c:w val="0.69821724806654362"/>
          <c:h val="0.62968613298337706"/>
        </c:manualLayout>
      </c:layout>
      <c:barChart>
        <c:barDir val="bar"/>
        <c:grouping val="clustered"/>
        <c:varyColors val="0"/>
        <c:ser>
          <c:idx val="0"/>
          <c:order val="0"/>
          <c:tx>
            <c:strRef>
              <c:f>Pivot_Table!$B$23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Pivot_Table!$A$24:$A$27</c:f>
              <c:strCache>
                <c:ptCount val="3"/>
                <c:pt idx="0">
                  <c:v>Bank Transfer</c:v>
                </c:pt>
                <c:pt idx="1">
                  <c:v>UPI</c:v>
                </c:pt>
                <c:pt idx="2">
                  <c:v>Credit Card</c:v>
                </c:pt>
              </c:strCache>
            </c:strRef>
          </c:cat>
          <c:val>
            <c:numRef>
              <c:f>Pivot_Table!$B$24:$B$27</c:f>
              <c:numCache>
                <c:formatCode>"₹"\ #,##0</c:formatCode>
                <c:ptCount val="3"/>
                <c:pt idx="0">
                  <c:v>148000</c:v>
                </c:pt>
                <c:pt idx="1">
                  <c:v>37450</c:v>
                </c:pt>
                <c:pt idx="2">
                  <c:v>17400</c:v>
                </c:pt>
              </c:numCache>
            </c:numRef>
          </c:val>
          <c:extLst>
            <c:ext xmlns:c16="http://schemas.microsoft.com/office/drawing/2014/chart" uri="{C3380CC4-5D6E-409C-BE32-E72D297353CC}">
              <c16:uniqueId val="{00000000-3964-452C-B3F7-BE799ED78367}"/>
            </c:ext>
          </c:extLst>
        </c:ser>
        <c:dLbls>
          <c:dLblPos val="outEnd"/>
          <c:showLegendKey val="0"/>
          <c:showVal val="1"/>
          <c:showCatName val="0"/>
          <c:showSerName val="0"/>
          <c:showPercent val="0"/>
          <c:showBubbleSize val="0"/>
        </c:dLbls>
        <c:gapWidth val="182"/>
        <c:axId val="640814720"/>
        <c:axId val="640816640"/>
      </c:barChart>
      <c:catAx>
        <c:axId val="64081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0816640"/>
        <c:crosses val="autoZero"/>
        <c:auto val="1"/>
        <c:lblAlgn val="ctr"/>
        <c:lblOffset val="100"/>
        <c:noMultiLvlLbl val="0"/>
      </c:catAx>
      <c:valAx>
        <c:axId val="640816640"/>
        <c:scaling>
          <c:orientation val="minMax"/>
        </c:scaling>
        <c:delete val="1"/>
        <c:axPos val="b"/>
        <c:numFmt formatCode="&quot;₹&quot;\ #,##0" sourceLinked="1"/>
        <c:majorTickMark val="none"/>
        <c:minorTickMark val="none"/>
        <c:tickLblPos val="nextTo"/>
        <c:crossAx val="640814720"/>
        <c:crosses val="autoZero"/>
        <c:crossBetween val="between"/>
      </c:valAx>
      <c:spPr>
        <a:noFill/>
        <a:ln>
          <a:noFill/>
        </a:ln>
        <a:effectLst>
          <a:outerShdw blurRad="50800" dist="50800" dir="5400000" algn="ctr" rotWithShape="0">
            <a:schemeClr val="accent1">
              <a:lumMod val="20000"/>
              <a:lumOff val="80000"/>
              <a:alpha val="82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[Personal_Finance_Expense_Dashboard.xlsx]Pivot_Table!PivotTable7</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ysClr val="windowText" lastClr="000000"/>
                </a:solidFill>
              </a:rPr>
              <a:t>Expenses by Type</a:t>
            </a:r>
          </a:p>
        </c:rich>
      </c:tx>
      <c:layout>
        <c:manualLayout>
          <c:xMode val="edge"/>
          <c:yMode val="edge"/>
          <c:x val="0.33502392023041594"/>
          <c:y val="5.005290129474709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1894775548490779E-2"/>
              <c:y val="7.7198071156669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354070504408255E-2"/>
              <c:y val="-0.1089855122211805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Pivot_Table!$K$25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A2-4258-BB30-F009056653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A2-4258-BB30-F009056653F6}"/>
              </c:ext>
            </c:extLst>
          </c:dPt>
          <c:dLbls>
            <c:dLbl>
              <c:idx val="0"/>
              <c:layout>
                <c:manualLayout>
                  <c:x val="9.1894775548490779E-2"/>
                  <c:y val="7.7198071156669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A2-4258-BB30-F009056653F6}"/>
                </c:ext>
              </c:extLst>
            </c:dLbl>
            <c:dLbl>
              <c:idx val="1"/>
              <c:layout>
                <c:manualLayout>
                  <c:x val="-8.354070504408255E-2"/>
                  <c:y val="-0.1089855122211805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A2-4258-BB30-F009056653F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Pivot_Table!$J$26:$J$28</c:f>
              <c:strCache>
                <c:ptCount val="2"/>
                <c:pt idx="0">
                  <c:v>Fixed</c:v>
                </c:pt>
                <c:pt idx="1">
                  <c:v>Variable</c:v>
                </c:pt>
              </c:strCache>
            </c:strRef>
          </c:cat>
          <c:val>
            <c:numRef>
              <c:f>Pivot_Table!$K$26:$K$28</c:f>
              <c:numCache>
                <c:formatCode>"₹"\ #,##0</c:formatCode>
                <c:ptCount val="2"/>
                <c:pt idx="0">
                  <c:v>148000</c:v>
                </c:pt>
                <c:pt idx="1">
                  <c:v>54850</c:v>
                </c:pt>
              </c:numCache>
            </c:numRef>
          </c:val>
          <c:extLst>
            <c:ext xmlns:c16="http://schemas.microsoft.com/office/drawing/2014/chart" uri="{C3380CC4-5D6E-409C-BE32-E72D297353CC}">
              <c16:uniqueId val="{00000004-C7A2-4258-BB30-F009056653F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a:outerShdw blurRad="50800" dist="50800" dir="5400000" algn="ctr" rotWithShape="0">
        <a:schemeClr val="accent1">
          <a:lumMod val="20000"/>
          <a:lumOff val="80000"/>
          <a:alpha val="6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131578</xdr:colOff>
      <xdr:row>3</xdr:row>
      <xdr:rowOff>1660</xdr:rowOff>
    </xdr:from>
    <xdr:to>
      <xdr:col>3</xdr:col>
      <xdr:colOff>47758</xdr:colOff>
      <xdr:row>7</xdr:row>
      <xdr:rowOff>9280</xdr:rowOff>
    </xdr:to>
    <xdr:sp macro="" textlink="KPI_Summary!B2">
      <xdr:nvSpPr>
        <xdr:cNvPr id="2" name="Rectangle: Rounded Corners 1">
          <a:extLst>
            <a:ext uri="{FF2B5EF4-FFF2-40B4-BE49-F238E27FC236}">
              <a16:creationId xmlns:a16="http://schemas.microsoft.com/office/drawing/2014/main" id="{D3582349-FD5E-C98B-8EE2-292F409632E1}"/>
            </a:ext>
          </a:extLst>
        </xdr:cNvPr>
        <xdr:cNvSpPr/>
      </xdr:nvSpPr>
      <xdr:spPr>
        <a:xfrm>
          <a:off x="131578" y="544868"/>
          <a:ext cx="1749507" cy="731897"/>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1600" b="1" i="0" u="none" strike="noStrike">
              <a:solidFill>
                <a:srgbClr val="000000"/>
              </a:solidFill>
              <a:latin typeface="Aptos Narrow"/>
            </a:rPr>
            <a:t>Total Income</a:t>
          </a:r>
        </a:p>
        <a:p>
          <a:pPr algn="l"/>
          <a:fld id="{697521BB-3E05-419A-B635-BBC5230CEC82}" type="TxLink">
            <a:rPr lang="en-US" sz="1600" b="1" i="0" u="none" strike="noStrike">
              <a:solidFill>
                <a:srgbClr val="000000"/>
              </a:solidFill>
              <a:latin typeface="Aptos Narrow"/>
            </a:rPr>
            <a:t>₹ 1,26,000.00</a:t>
          </a:fld>
          <a:endParaRPr lang="en-IN" sz="1600" b="1" i="0">
            <a:solidFill>
              <a:sysClr val="windowText" lastClr="000000"/>
            </a:solidFill>
          </a:endParaRPr>
        </a:p>
      </xdr:txBody>
    </xdr:sp>
    <xdr:clientData/>
  </xdr:twoCellAnchor>
  <xdr:twoCellAnchor>
    <xdr:from>
      <xdr:col>3</xdr:col>
      <xdr:colOff>133086</xdr:colOff>
      <xdr:row>3</xdr:row>
      <xdr:rowOff>15239</xdr:rowOff>
    </xdr:from>
    <xdr:to>
      <xdr:col>6</xdr:col>
      <xdr:colOff>232146</xdr:colOff>
      <xdr:row>7</xdr:row>
      <xdr:rowOff>0</xdr:rowOff>
    </xdr:to>
    <xdr:sp macro="" textlink="KPI_Summary!B3">
      <xdr:nvSpPr>
        <xdr:cNvPr id="3" name="Rectangle: Rounded Corners 2">
          <a:extLst>
            <a:ext uri="{FF2B5EF4-FFF2-40B4-BE49-F238E27FC236}">
              <a16:creationId xmlns:a16="http://schemas.microsoft.com/office/drawing/2014/main" id="{775DB2BA-76D6-5DF1-49CF-3C3B63DD280D}"/>
            </a:ext>
          </a:extLst>
        </xdr:cNvPr>
        <xdr:cNvSpPr/>
      </xdr:nvSpPr>
      <xdr:spPr>
        <a:xfrm>
          <a:off x="1966413" y="558447"/>
          <a:ext cx="1932386" cy="709038"/>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600" b="1" i="0" u="none" strike="noStrike">
              <a:solidFill>
                <a:srgbClr val="000000"/>
              </a:solidFill>
              <a:latin typeface="Aptos Narrow"/>
            </a:rPr>
            <a:t>Total Expenses</a:t>
          </a:r>
        </a:p>
        <a:p>
          <a:pPr algn="l"/>
          <a:fld id="{EF3C4D31-E557-4751-B15E-A099B067BA68}" type="TxLink">
            <a:rPr lang="en-US" sz="1600" b="1" i="0" u="none" strike="noStrike">
              <a:solidFill>
                <a:srgbClr val="000000"/>
              </a:solidFill>
              <a:latin typeface="Aptos Narrow"/>
            </a:rPr>
            <a:t>₹ 76,850.00</a:t>
          </a:fld>
          <a:endParaRPr lang="en-IN" sz="1600" b="1">
            <a:solidFill>
              <a:sysClr val="windowText" lastClr="000000"/>
            </a:solidFill>
          </a:endParaRPr>
        </a:p>
      </xdr:txBody>
    </xdr:sp>
    <xdr:clientData/>
  </xdr:twoCellAnchor>
  <xdr:twoCellAnchor>
    <xdr:from>
      <xdr:col>6</xdr:col>
      <xdr:colOff>304272</xdr:colOff>
      <xdr:row>3</xdr:row>
      <xdr:rowOff>39382</xdr:rowOff>
    </xdr:from>
    <xdr:to>
      <xdr:col>9</xdr:col>
      <xdr:colOff>342372</xdr:colOff>
      <xdr:row>7</xdr:row>
      <xdr:rowOff>52812</xdr:rowOff>
    </xdr:to>
    <xdr:sp macro="" textlink="KPI_Summary!B4">
      <xdr:nvSpPr>
        <xdr:cNvPr id="4" name="Rectangle: Rounded Corners 3">
          <a:extLst>
            <a:ext uri="{FF2B5EF4-FFF2-40B4-BE49-F238E27FC236}">
              <a16:creationId xmlns:a16="http://schemas.microsoft.com/office/drawing/2014/main" id="{ADA469AD-DCDF-BFE5-2892-B0F69874CC82}"/>
            </a:ext>
          </a:extLst>
        </xdr:cNvPr>
        <xdr:cNvSpPr/>
      </xdr:nvSpPr>
      <xdr:spPr>
        <a:xfrm>
          <a:off x="3970925" y="582590"/>
          <a:ext cx="1871427" cy="73770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600" b="1" i="0" u="none" strike="noStrike" baseline="0">
              <a:solidFill>
                <a:srgbClr val="000000"/>
              </a:solidFill>
              <a:latin typeface="Aptos Narrow"/>
            </a:rPr>
            <a:t> Net Savings</a:t>
          </a:r>
        </a:p>
        <a:p>
          <a:pPr algn="l"/>
          <a:fld id="{7B34B077-ECF9-4DB6-B641-5B42DD584A42}" type="TxLink">
            <a:rPr lang="en-US" sz="1600" b="1" i="0" u="none" strike="noStrike">
              <a:solidFill>
                <a:srgbClr val="000000"/>
              </a:solidFill>
              <a:latin typeface="Aptos Narrow"/>
            </a:rPr>
            <a:t>₹ 49,150.00</a:t>
          </a:fld>
          <a:endParaRPr lang="en-IN" sz="1600" b="1">
            <a:solidFill>
              <a:schemeClr val="tx1"/>
            </a:solidFill>
          </a:endParaRPr>
        </a:p>
      </xdr:txBody>
    </xdr:sp>
    <xdr:clientData/>
  </xdr:twoCellAnchor>
  <xdr:twoCellAnchor>
    <xdr:from>
      <xdr:col>9</xdr:col>
      <xdr:colOff>420232</xdr:colOff>
      <xdr:row>3</xdr:row>
      <xdr:rowOff>60507</xdr:rowOff>
    </xdr:from>
    <xdr:to>
      <xdr:col>12</xdr:col>
      <xdr:colOff>589381</xdr:colOff>
      <xdr:row>7</xdr:row>
      <xdr:rowOff>60508</xdr:rowOff>
    </xdr:to>
    <xdr:sp macro="" textlink="KPI_Summary!B5">
      <xdr:nvSpPr>
        <xdr:cNvPr id="5" name="Rectangle: Rounded Corners 4">
          <a:extLst>
            <a:ext uri="{FF2B5EF4-FFF2-40B4-BE49-F238E27FC236}">
              <a16:creationId xmlns:a16="http://schemas.microsoft.com/office/drawing/2014/main" id="{A471BBB9-7F06-1943-C2E8-DA24D27CB33A}"/>
            </a:ext>
          </a:extLst>
        </xdr:cNvPr>
        <xdr:cNvSpPr/>
      </xdr:nvSpPr>
      <xdr:spPr>
        <a:xfrm>
          <a:off x="5920212" y="603715"/>
          <a:ext cx="2002476" cy="724278"/>
        </a:xfrm>
        <a:prstGeom prst="roundRect">
          <a:avLst/>
        </a:prstGeom>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600" b="1" i="0" u="none" strike="noStrike">
              <a:solidFill>
                <a:srgbClr val="000000"/>
              </a:solidFill>
              <a:latin typeface="Aptos Narrow"/>
            </a:rPr>
            <a:t>Savings%</a:t>
          </a:r>
        </a:p>
        <a:p>
          <a:pPr algn="l"/>
          <a:fld id="{651B2F6B-8832-4587-9B79-DC2AE8A2BEF9}" type="TxLink">
            <a:rPr lang="en-US" sz="1600" b="1" i="0" u="none" strike="noStrike">
              <a:solidFill>
                <a:srgbClr val="000000"/>
              </a:solidFill>
              <a:latin typeface="Aptos Narrow"/>
            </a:rPr>
            <a:t>39.01%</a:t>
          </a:fld>
          <a:endParaRPr lang="en-IN" sz="1600" b="1">
            <a:solidFill>
              <a:sysClr val="windowText" lastClr="000000"/>
            </a:solidFill>
          </a:endParaRPr>
        </a:p>
      </xdr:txBody>
    </xdr:sp>
    <xdr:clientData/>
  </xdr:twoCellAnchor>
  <xdr:twoCellAnchor>
    <xdr:from>
      <xdr:col>0</xdr:col>
      <xdr:colOff>284166</xdr:colOff>
      <xdr:row>7</xdr:row>
      <xdr:rowOff>142045</xdr:rowOff>
    </xdr:from>
    <xdr:to>
      <xdr:col>8</xdr:col>
      <xdr:colOff>535626</xdr:colOff>
      <xdr:row>22</xdr:row>
      <xdr:rowOff>60035</xdr:rowOff>
    </xdr:to>
    <xdr:graphicFrame macro="">
      <xdr:nvGraphicFramePr>
        <xdr:cNvPr id="10" name="Dashboard">
          <a:extLst>
            <a:ext uri="{FF2B5EF4-FFF2-40B4-BE49-F238E27FC236}">
              <a16:creationId xmlns:a16="http://schemas.microsoft.com/office/drawing/2014/main" id="{1B1ACFE2-005D-4920-B24C-00B5B661B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219848</xdr:colOff>
      <xdr:row>7</xdr:row>
      <xdr:rowOff>174204</xdr:rowOff>
    </xdr:from>
    <xdr:to>
      <xdr:col>16</xdr:col>
      <xdr:colOff>448448</xdr:colOff>
      <xdr:row>22</xdr:row>
      <xdr:rowOff>69334</xdr:rowOff>
    </xdr:to>
    <xdr:graphicFrame macro="">
      <xdr:nvGraphicFramePr>
        <xdr:cNvPr id="11" name="Chart 10">
          <a:extLst>
            <a:ext uri="{FF2B5EF4-FFF2-40B4-BE49-F238E27FC236}">
              <a16:creationId xmlns:a16="http://schemas.microsoft.com/office/drawing/2014/main" id="{99F15238-B625-4CAD-ACD9-3F5E9A437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289560</xdr:colOff>
      <xdr:row>21</xdr:row>
      <xdr:rowOff>106680</xdr:rowOff>
    </xdr:from>
    <xdr:to>
      <xdr:col>8</xdr:col>
      <xdr:colOff>548640</xdr:colOff>
      <xdr:row>36</xdr:row>
      <xdr:rowOff>106680</xdr:rowOff>
    </xdr:to>
    <xdr:graphicFrame macro="">
      <xdr:nvGraphicFramePr>
        <xdr:cNvPr id="12" name="Chart 11">
          <a:extLst>
            <a:ext uri="{FF2B5EF4-FFF2-40B4-BE49-F238E27FC236}">
              <a16:creationId xmlns:a16="http://schemas.microsoft.com/office/drawing/2014/main" id="{16DCBE1B-2BD2-4996-822C-4ADA9B51D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83820</xdr:colOff>
      <xdr:row>21</xdr:row>
      <xdr:rowOff>83820</xdr:rowOff>
    </xdr:from>
    <xdr:to>
      <xdr:col>16</xdr:col>
      <xdr:colOff>388620</xdr:colOff>
      <xdr:row>36</xdr:row>
      <xdr:rowOff>83820</xdr:rowOff>
    </xdr:to>
    <xdr:graphicFrame macro="">
      <xdr:nvGraphicFramePr>
        <xdr:cNvPr id="13" name="Chart 12">
          <a:extLst>
            <a:ext uri="{FF2B5EF4-FFF2-40B4-BE49-F238E27FC236}">
              <a16:creationId xmlns:a16="http://schemas.microsoft.com/office/drawing/2014/main" id="{9C2EE1D6-5042-4951-AC13-A1058DA96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68146</xdr:colOff>
      <xdr:row>2</xdr:row>
      <xdr:rowOff>131370</xdr:rowOff>
    </xdr:from>
    <xdr:to>
      <xdr:col>20</xdr:col>
      <xdr:colOff>406840</xdr:colOff>
      <xdr:row>8</xdr:row>
      <xdr:rowOff>7546</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000E1252-2814-41A0-B288-D0F10CCC102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456997" y="493509"/>
              <a:ext cx="2172021" cy="962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81235</xdr:colOff>
      <xdr:row>15</xdr:row>
      <xdr:rowOff>67355</xdr:rowOff>
    </xdr:from>
    <xdr:to>
      <xdr:col>20</xdr:col>
      <xdr:colOff>391750</xdr:colOff>
      <xdr:row>20</xdr:row>
      <xdr:rowOff>103551</xdr:rowOff>
    </xdr:to>
    <mc:AlternateContent xmlns:mc="http://schemas.openxmlformats.org/markup-compatibility/2006">
      <mc:Choice xmlns:a14="http://schemas.microsoft.com/office/drawing/2010/main" Requires="a14">
        <xdr:graphicFrame macro="">
          <xdr:nvGraphicFramePr>
            <xdr:cNvPr id="16" name="Expense Type">
              <a:extLst>
                <a:ext uri="{FF2B5EF4-FFF2-40B4-BE49-F238E27FC236}">
                  <a16:creationId xmlns:a16="http://schemas.microsoft.com/office/drawing/2014/main" id="{7E63366D-E9D9-9368-BD27-B7E7B043AC1D}"/>
                </a:ext>
              </a:extLst>
            </xdr:cNvPr>
            <xdr:cNvGraphicFramePr/>
          </xdr:nvGraphicFramePr>
          <xdr:xfrm>
            <a:off x="0" y="0"/>
            <a:ext cx="0" cy="0"/>
          </xdr:xfrm>
          <a:graphic>
            <a:graphicData uri="http://schemas.microsoft.com/office/drawing/2010/slicer">
              <sle:slicer xmlns:sle="http://schemas.microsoft.com/office/drawing/2010/slicer" name="Expense Type"/>
            </a:graphicData>
          </a:graphic>
        </xdr:graphicFrame>
      </mc:Choice>
      <mc:Fallback>
        <xdr:sp macro="" textlink="">
          <xdr:nvSpPr>
            <xdr:cNvPr id="0" name=""/>
            <xdr:cNvSpPr>
              <a:spLocks noTextEdit="1"/>
            </xdr:cNvSpPr>
          </xdr:nvSpPr>
          <xdr:spPr>
            <a:xfrm>
              <a:off x="10470086" y="2783395"/>
              <a:ext cx="2143842" cy="941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81479</xdr:colOff>
      <xdr:row>8</xdr:row>
      <xdr:rowOff>32614</xdr:rowOff>
    </xdr:from>
    <xdr:to>
      <xdr:col>20</xdr:col>
      <xdr:colOff>397313</xdr:colOff>
      <xdr:row>15</xdr:row>
      <xdr:rowOff>34518</xdr:rowOff>
    </xdr:to>
    <mc:AlternateContent xmlns:mc="http://schemas.openxmlformats.org/markup-compatibility/2006">
      <mc:Choice xmlns:a14="http://schemas.microsoft.com/office/drawing/2010/main" Requires="a14">
        <xdr:graphicFrame macro="">
          <xdr:nvGraphicFramePr>
            <xdr:cNvPr id="18" name="Payment Mode">
              <a:extLst>
                <a:ext uri="{FF2B5EF4-FFF2-40B4-BE49-F238E27FC236}">
                  <a16:creationId xmlns:a16="http://schemas.microsoft.com/office/drawing/2014/main" id="{D3EDEF25-417E-86D1-A39D-8985F838AF1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0470330" y="1481168"/>
              <a:ext cx="2149161" cy="1269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252836</xdr:colOff>
      <xdr:row>2</xdr:row>
      <xdr:rowOff>121919</xdr:rowOff>
    </xdr:from>
    <xdr:to>
      <xdr:col>16</xdr:col>
      <xdr:colOff>548110</xdr:colOff>
      <xdr:row>8</xdr:row>
      <xdr:rowOff>9525</xdr:rowOff>
    </xdr:to>
    <mc:AlternateContent xmlns:mc="http://schemas.openxmlformats.org/markup-compatibility/2006">
      <mc:Choice xmlns:a14="http://schemas.microsoft.com/office/drawing/2010/main" Requires="a14">
        <xdr:graphicFrame macro="">
          <xdr:nvGraphicFramePr>
            <xdr:cNvPr id="19" name="Indicator">
              <a:extLst>
                <a:ext uri="{FF2B5EF4-FFF2-40B4-BE49-F238E27FC236}">
                  <a16:creationId xmlns:a16="http://schemas.microsoft.com/office/drawing/2014/main" id="{93EF469D-1E77-5B1D-777D-FFF2D408E888}"/>
                </a:ext>
              </a:extLst>
            </xdr:cNvPr>
            <xdr:cNvGraphicFramePr/>
          </xdr:nvGraphicFramePr>
          <xdr:xfrm>
            <a:off x="0" y="0"/>
            <a:ext cx="0" cy="0"/>
          </xdr:xfrm>
          <a:graphic>
            <a:graphicData uri="http://schemas.microsoft.com/office/drawing/2010/slicer">
              <sle:slicer xmlns:sle="http://schemas.microsoft.com/office/drawing/2010/slicer" name="Indicator"/>
            </a:graphicData>
          </a:graphic>
        </xdr:graphicFrame>
      </mc:Choice>
      <mc:Fallback>
        <xdr:sp macro="" textlink="">
          <xdr:nvSpPr>
            <xdr:cNvPr id="0" name=""/>
            <xdr:cNvSpPr>
              <a:spLocks noTextEdit="1"/>
            </xdr:cNvSpPr>
          </xdr:nvSpPr>
          <xdr:spPr>
            <a:xfrm>
              <a:off x="8197252" y="484058"/>
              <a:ext cx="2128601" cy="974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336698</xdr:colOff>
      <xdr:row>21</xdr:row>
      <xdr:rowOff>62023</xdr:rowOff>
    </xdr:from>
    <xdr:to>
      <xdr:col>17</xdr:col>
      <xdr:colOff>354418</xdr:colOff>
      <xdr:row>21</xdr:row>
      <xdr:rowOff>150628</xdr:rowOff>
    </xdr:to>
    <xdr:cxnSp macro="">
      <xdr:nvCxnSpPr>
        <xdr:cNvPr id="22" name="Straight Connector 21">
          <a:extLst>
            <a:ext uri="{FF2B5EF4-FFF2-40B4-BE49-F238E27FC236}">
              <a16:creationId xmlns:a16="http://schemas.microsoft.com/office/drawing/2014/main" id="{63802296-6DC6-10CA-88C6-7BD83E526AB0}"/>
            </a:ext>
          </a:extLst>
        </xdr:cNvPr>
        <xdr:cNvCxnSpPr/>
      </xdr:nvCxnSpPr>
      <xdr:spPr>
        <a:xfrm flipV="1">
          <a:off x="336698" y="3969488"/>
          <a:ext cx="10411046" cy="88605"/>
        </a:xfrm>
        <a:prstGeom prst="line">
          <a:avLst/>
        </a:prstGeom>
        <a:ln>
          <a:solidFill>
            <a:schemeClr val="accent1">
              <a:alpha val="8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505047</xdr:colOff>
      <xdr:row>37</xdr:row>
      <xdr:rowOff>177209</xdr:rowOff>
    </xdr:from>
    <xdr:to>
      <xdr:col>17</xdr:col>
      <xdr:colOff>522767</xdr:colOff>
      <xdr:row>38</xdr:row>
      <xdr:rowOff>79744</xdr:rowOff>
    </xdr:to>
    <xdr:cxnSp macro="">
      <xdr:nvCxnSpPr>
        <xdr:cNvPr id="23" name="Straight Connector 22">
          <a:extLst>
            <a:ext uri="{FF2B5EF4-FFF2-40B4-BE49-F238E27FC236}">
              <a16:creationId xmlns:a16="http://schemas.microsoft.com/office/drawing/2014/main" id="{E2F7C580-2F1C-4B0B-AF50-CD8B1AB2528D}"/>
            </a:ext>
          </a:extLst>
        </xdr:cNvPr>
        <xdr:cNvCxnSpPr/>
      </xdr:nvCxnSpPr>
      <xdr:spPr>
        <a:xfrm flipV="1">
          <a:off x="505047" y="7061790"/>
          <a:ext cx="10411046" cy="88605"/>
        </a:xfrm>
        <a:prstGeom prst="line">
          <a:avLst/>
        </a:prstGeom>
        <a:ln>
          <a:solidFill>
            <a:schemeClr val="accent1">
              <a:alpha val="17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7544</xdr:colOff>
      <xdr:row>0</xdr:row>
      <xdr:rowOff>37723</xdr:rowOff>
    </xdr:from>
    <xdr:to>
      <xdr:col>21</xdr:col>
      <xdr:colOff>7544</xdr:colOff>
      <xdr:row>2</xdr:row>
      <xdr:rowOff>90534</xdr:rowOff>
    </xdr:to>
    <xdr:sp macro="" textlink="">
      <xdr:nvSpPr>
        <xdr:cNvPr id="6" name="Rectangle 5">
          <a:extLst>
            <a:ext uri="{FF2B5EF4-FFF2-40B4-BE49-F238E27FC236}">
              <a16:creationId xmlns:a16="http://schemas.microsoft.com/office/drawing/2014/main" id="{6CFDCE37-26F5-A231-CBD8-B682D87EBA7E}"/>
            </a:ext>
          </a:extLst>
        </xdr:cNvPr>
        <xdr:cNvSpPr/>
      </xdr:nvSpPr>
      <xdr:spPr>
        <a:xfrm>
          <a:off x="7544" y="37723"/>
          <a:ext cx="12833287" cy="41495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                                                                                                                    </a:t>
          </a:r>
          <a:r>
            <a:rPr lang="en-IN" sz="2400" b="1">
              <a:solidFill>
                <a:schemeClr val="tx1"/>
              </a:solidFill>
            </a:rPr>
            <a:t>Personal Finance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latha Dodla" refreshedDate="46123.610171990738" createdVersion="8" refreshedVersion="8" minRefreshableVersion="3" recordCount="50" xr:uid="{BF0164AB-8400-4AF5-92F5-54DBD74F443B}">
  <cacheSource type="worksheet">
    <worksheetSource name="Finance_Data"/>
  </cacheSource>
  <cacheFields count="12">
    <cacheField name="Date" numFmtId="14">
      <sharedItems containsSemiMixedTypes="0" containsNonDate="0" containsDate="1" containsString="0" minDate="2025-01-01T00:00:00" maxDate="2025-02-21T00:00:00"/>
    </cacheField>
    <cacheField name="Month" numFmtId="0">
      <sharedItems count="2">
        <s v="Jan"/>
        <s v="Feb"/>
      </sharedItems>
    </cacheField>
    <cacheField name="Income Source" numFmtId="0">
      <sharedItems/>
    </cacheField>
    <cacheField name="Expense Category" numFmtId="0">
      <sharedItems count="8">
        <s v="Salary"/>
        <s v="Rent"/>
        <s v="Food"/>
        <s v="Freelance"/>
        <s v="Travel"/>
        <s v="Shopping"/>
        <s v="Bills"/>
        <s v="EMI"/>
      </sharedItems>
    </cacheField>
    <cacheField name="Expense Type" numFmtId="0">
      <sharedItems count="2">
        <s v="Fixed"/>
        <s v="Variable"/>
      </sharedItems>
    </cacheField>
    <cacheField name="Payment Mode" numFmtId="0">
      <sharedItems count="3">
        <s v="Bank Transfer"/>
        <s v="UPI"/>
        <s v="Credit Card"/>
      </sharedItems>
    </cacheField>
    <cacheField name="Amount" numFmtId="0">
      <sharedItems containsSemiMixedTypes="0" containsString="0" containsNumber="1" containsInteger="1" minValue="250" maxValue="50000"/>
    </cacheField>
    <cacheField name="Indicator" numFmtId="0">
      <sharedItems count="2">
        <s v="Income"/>
        <s v="Expense"/>
      </sharedItems>
    </cacheField>
    <cacheField name="Savings" numFmtId="0">
      <sharedItems containsSemiMixedTypes="0" containsString="0" containsNumber="1" containsInteger="1" minValue="0" maxValue="50000"/>
    </cacheField>
    <cacheField name="Budget Allocated" numFmtId="0">
      <sharedItems containsSemiMixedTypes="0" containsString="0" containsNumber="1" containsInteger="1" minValue="0" maxValue="15000"/>
    </cacheField>
    <cacheField name="Budget Remaining" numFmtId="0">
      <sharedItems containsSemiMixedTypes="0" containsString="0" containsNumber="1" containsInteger="1" minValue="0" maxValue="7500"/>
    </cacheField>
    <cacheField name="Notes" numFmtId="0">
      <sharedItems/>
    </cacheField>
  </cacheFields>
  <extLst>
    <ext xmlns:x14="http://schemas.microsoft.com/office/spreadsheetml/2009/9/main" uri="{725AE2AE-9491-48be-B2B4-4EB974FC3084}">
      <x14:pivotCacheDefinition pivotCacheId="1889634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5-01-01T00:00:00"/>
    <x v="0"/>
    <s v="Salary"/>
    <x v="0"/>
    <x v="0"/>
    <x v="0"/>
    <n v="50000"/>
    <x v="0"/>
    <n v="50000"/>
    <n v="0"/>
    <n v="0"/>
    <s v="Monthly salary"/>
  </r>
  <r>
    <d v="2025-01-02T00:00:00"/>
    <x v="0"/>
    <s v="NA"/>
    <x v="1"/>
    <x v="0"/>
    <x v="0"/>
    <n v="15000"/>
    <x v="1"/>
    <n v="0"/>
    <n v="15000"/>
    <n v="0"/>
    <s v="House rent"/>
  </r>
  <r>
    <d v="2025-01-03T00:00:00"/>
    <x v="0"/>
    <s v="NA"/>
    <x v="2"/>
    <x v="1"/>
    <x v="1"/>
    <n v="500"/>
    <x v="1"/>
    <n v="0"/>
    <n v="8000"/>
    <n v="7500"/>
    <s v="Lunch"/>
  </r>
  <r>
    <d v="2025-01-04T00:00:00"/>
    <x v="0"/>
    <s v="Freelance"/>
    <x v="3"/>
    <x v="1"/>
    <x v="1"/>
    <n v="8000"/>
    <x v="0"/>
    <n v="8000"/>
    <n v="0"/>
    <n v="0"/>
    <s v="Project work"/>
  </r>
  <r>
    <d v="2025-01-05T00:00:00"/>
    <x v="0"/>
    <s v="NA"/>
    <x v="4"/>
    <x v="1"/>
    <x v="1"/>
    <n v="300"/>
    <x v="1"/>
    <n v="0"/>
    <n v="3000"/>
    <n v="2700"/>
    <s v="Auto"/>
  </r>
  <r>
    <d v="2025-01-06T00:00:00"/>
    <x v="0"/>
    <s v="NA"/>
    <x v="5"/>
    <x v="1"/>
    <x v="2"/>
    <n v="2000"/>
    <x v="1"/>
    <n v="0"/>
    <n v="5000"/>
    <n v="3000"/>
    <s v="Clothes"/>
  </r>
  <r>
    <d v="2025-01-07T00:00:00"/>
    <x v="0"/>
    <s v="NA"/>
    <x v="6"/>
    <x v="0"/>
    <x v="0"/>
    <n v="1500"/>
    <x v="1"/>
    <n v="0"/>
    <n v="2000"/>
    <n v="500"/>
    <s v="Electricity"/>
  </r>
  <r>
    <d v="2025-01-08T00:00:00"/>
    <x v="0"/>
    <s v="NA"/>
    <x v="2"/>
    <x v="1"/>
    <x v="1"/>
    <n v="600"/>
    <x v="1"/>
    <n v="0"/>
    <n v="8000"/>
    <n v="6900"/>
    <s v="Dinner"/>
  </r>
  <r>
    <d v="2025-01-09T00:00:00"/>
    <x v="0"/>
    <s v="NA"/>
    <x v="7"/>
    <x v="0"/>
    <x v="0"/>
    <n v="5000"/>
    <x v="1"/>
    <n v="0"/>
    <n v="5000"/>
    <n v="0"/>
    <s v="Loan EMI"/>
  </r>
  <r>
    <d v="2025-01-10T00:00:00"/>
    <x v="0"/>
    <s v="NA"/>
    <x v="4"/>
    <x v="1"/>
    <x v="1"/>
    <n v="400"/>
    <x v="1"/>
    <n v="0"/>
    <n v="3000"/>
    <n v="2600"/>
    <s v="Bus"/>
  </r>
  <r>
    <d v="2025-01-11T00:00:00"/>
    <x v="0"/>
    <s v="NA"/>
    <x v="2"/>
    <x v="1"/>
    <x v="1"/>
    <n v="700"/>
    <x v="1"/>
    <n v="0"/>
    <n v="8000"/>
    <n v="6200"/>
    <s v="Groceries"/>
  </r>
  <r>
    <d v="2025-01-12T00:00:00"/>
    <x v="0"/>
    <s v="NA"/>
    <x v="5"/>
    <x v="1"/>
    <x v="2"/>
    <n v="1500"/>
    <x v="1"/>
    <n v="0"/>
    <n v="5000"/>
    <n v="3500"/>
    <s v="Online"/>
  </r>
  <r>
    <d v="2025-01-13T00:00:00"/>
    <x v="0"/>
    <s v="NA"/>
    <x v="6"/>
    <x v="0"/>
    <x v="0"/>
    <n v="1200"/>
    <x v="1"/>
    <n v="0"/>
    <n v="2000"/>
    <n v="800"/>
    <s v="Water"/>
  </r>
  <r>
    <d v="2025-01-14T00:00:00"/>
    <x v="0"/>
    <s v="NA"/>
    <x v="2"/>
    <x v="1"/>
    <x v="1"/>
    <n v="450"/>
    <x v="1"/>
    <n v="0"/>
    <n v="8000"/>
    <n v="5750"/>
    <s v="Snacks"/>
  </r>
  <r>
    <d v="2025-01-15T00:00:00"/>
    <x v="0"/>
    <s v="NA"/>
    <x v="4"/>
    <x v="1"/>
    <x v="1"/>
    <n v="350"/>
    <x v="1"/>
    <n v="0"/>
    <n v="3000"/>
    <n v="2250"/>
    <s v="Auto"/>
  </r>
  <r>
    <d v="2025-01-16T00:00:00"/>
    <x v="0"/>
    <s v="Freelance"/>
    <x v="3"/>
    <x v="1"/>
    <x v="1"/>
    <n v="6000"/>
    <x v="0"/>
    <n v="6000"/>
    <n v="0"/>
    <n v="0"/>
    <s v="Side gig"/>
  </r>
  <r>
    <d v="2025-01-17T00:00:00"/>
    <x v="0"/>
    <s v="NA"/>
    <x v="5"/>
    <x v="1"/>
    <x v="2"/>
    <n v="2200"/>
    <x v="1"/>
    <n v="0"/>
    <n v="5000"/>
    <n v="2800"/>
    <s v="Accessories"/>
  </r>
  <r>
    <d v="2025-01-18T00:00:00"/>
    <x v="0"/>
    <s v="NA"/>
    <x v="2"/>
    <x v="1"/>
    <x v="1"/>
    <n v="650"/>
    <x v="1"/>
    <n v="0"/>
    <n v="8000"/>
    <n v="5100"/>
    <s v="Lunch"/>
  </r>
  <r>
    <d v="2025-01-19T00:00:00"/>
    <x v="0"/>
    <s v="NA"/>
    <x v="4"/>
    <x v="1"/>
    <x v="1"/>
    <n v="300"/>
    <x v="1"/>
    <n v="0"/>
    <n v="3000"/>
    <n v="1950"/>
    <s v="Metro"/>
  </r>
  <r>
    <d v="2025-01-20T00:00:00"/>
    <x v="0"/>
    <s v="NA"/>
    <x v="6"/>
    <x v="0"/>
    <x v="0"/>
    <n v="800"/>
    <x v="1"/>
    <n v="0"/>
    <n v="2000"/>
    <n v="1200"/>
    <s v="Internet"/>
  </r>
  <r>
    <d v="2025-01-21T00:00:00"/>
    <x v="0"/>
    <s v="NA"/>
    <x v="2"/>
    <x v="1"/>
    <x v="1"/>
    <n v="550"/>
    <x v="1"/>
    <n v="0"/>
    <n v="8000"/>
    <n v="4550"/>
    <s v="Dinner"/>
  </r>
  <r>
    <d v="2025-01-22T00:00:00"/>
    <x v="0"/>
    <s v="NA"/>
    <x v="5"/>
    <x v="1"/>
    <x v="2"/>
    <n v="1800"/>
    <x v="1"/>
    <n v="0"/>
    <n v="5000"/>
    <n v="3200"/>
    <s v="Online"/>
  </r>
  <r>
    <d v="2025-01-23T00:00:00"/>
    <x v="0"/>
    <s v="NA"/>
    <x v="4"/>
    <x v="1"/>
    <x v="1"/>
    <n v="250"/>
    <x v="1"/>
    <n v="0"/>
    <n v="3000"/>
    <n v="1700"/>
    <s v="Auto"/>
  </r>
  <r>
    <d v="2025-01-24T00:00:00"/>
    <x v="0"/>
    <s v="NA"/>
    <x v="2"/>
    <x v="1"/>
    <x v="1"/>
    <n v="700"/>
    <x v="1"/>
    <n v="0"/>
    <n v="8000"/>
    <n v="3850"/>
    <s v="Groceries"/>
  </r>
  <r>
    <d v="2025-01-25T00:00:00"/>
    <x v="0"/>
    <s v="NA"/>
    <x v="6"/>
    <x v="0"/>
    <x v="0"/>
    <n v="1000"/>
    <x v="1"/>
    <n v="0"/>
    <n v="2000"/>
    <n v="1000"/>
    <s v="Gas"/>
  </r>
  <r>
    <d v="2025-01-26T00:00:00"/>
    <x v="0"/>
    <s v="NA"/>
    <x v="5"/>
    <x v="1"/>
    <x v="2"/>
    <n v="1600"/>
    <x v="1"/>
    <n v="0"/>
    <n v="5000"/>
    <n v="3400"/>
    <s v="Clothes"/>
  </r>
  <r>
    <d v="2025-01-27T00:00:00"/>
    <x v="0"/>
    <s v="NA"/>
    <x v="4"/>
    <x v="1"/>
    <x v="1"/>
    <n v="300"/>
    <x v="1"/>
    <n v="0"/>
    <n v="3000"/>
    <n v="1400"/>
    <s v="Bus"/>
  </r>
  <r>
    <d v="2025-01-28T00:00:00"/>
    <x v="0"/>
    <s v="NA"/>
    <x v="2"/>
    <x v="1"/>
    <x v="1"/>
    <n v="600"/>
    <x v="1"/>
    <n v="0"/>
    <n v="8000"/>
    <n v="3250"/>
    <s v="Dinner"/>
  </r>
  <r>
    <d v="2025-01-29T00:00:00"/>
    <x v="0"/>
    <s v="NA"/>
    <x v="5"/>
    <x v="1"/>
    <x v="2"/>
    <n v="2000"/>
    <x v="1"/>
    <n v="0"/>
    <n v="5000"/>
    <n v="3000"/>
    <s v="Online"/>
  </r>
  <r>
    <d v="2025-01-30T00:00:00"/>
    <x v="0"/>
    <s v="NA"/>
    <x v="4"/>
    <x v="1"/>
    <x v="1"/>
    <n v="350"/>
    <x v="1"/>
    <n v="0"/>
    <n v="3000"/>
    <n v="1050"/>
    <s v="Auto"/>
  </r>
  <r>
    <d v="2025-02-01T00:00:00"/>
    <x v="1"/>
    <s v="Salary"/>
    <x v="0"/>
    <x v="0"/>
    <x v="0"/>
    <n v="50000"/>
    <x v="0"/>
    <n v="50000"/>
    <n v="0"/>
    <n v="0"/>
    <s v="Monthly salary"/>
  </r>
  <r>
    <d v="2025-02-02T00:00:00"/>
    <x v="1"/>
    <s v="NA"/>
    <x v="1"/>
    <x v="0"/>
    <x v="0"/>
    <n v="15000"/>
    <x v="1"/>
    <n v="0"/>
    <n v="15000"/>
    <n v="0"/>
    <s v="Rent"/>
  </r>
  <r>
    <d v="2025-02-03T00:00:00"/>
    <x v="1"/>
    <s v="NA"/>
    <x v="2"/>
    <x v="1"/>
    <x v="1"/>
    <n v="600"/>
    <x v="1"/>
    <n v="0"/>
    <n v="8000"/>
    <n v="7400"/>
    <s v="Lunch"/>
  </r>
  <r>
    <d v="2025-02-04T00:00:00"/>
    <x v="1"/>
    <s v="Freelance"/>
    <x v="3"/>
    <x v="1"/>
    <x v="1"/>
    <n v="7000"/>
    <x v="0"/>
    <n v="7000"/>
    <n v="0"/>
    <n v="0"/>
    <s v="Project"/>
  </r>
  <r>
    <d v="2025-02-05T00:00:00"/>
    <x v="1"/>
    <s v="NA"/>
    <x v="4"/>
    <x v="1"/>
    <x v="1"/>
    <n v="300"/>
    <x v="1"/>
    <n v="0"/>
    <n v="3000"/>
    <n v="2700"/>
    <s v="Auto"/>
  </r>
  <r>
    <d v="2025-02-06T00:00:00"/>
    <x v="1"/>
    <s v="NA"/>
    <x v="5"/>
    <x v="1"/>
    <x v="2"/>
    <n v="2500"/>
    <x v="1"/>
    <n v="0"/>
    <n v="5000"/>
    <n v="2500"/>
    <s v="Clothes"/>
  </r>
  <r>
    <d v="2025-02-07T00:00:00"/>
    <x v="1"/>
    <s v="NA"/>
    <x v="6"/>
    <x v="0"/>
    <x v="0"/>
    <n v="1400"/>
    <x v="1"/>
    <n v="0"/>
    <n v="2000"/>
    <n v="600"/>
    <s v="Electricity"/>
  </r>
  <r>
    <d v="2025-02-08T00:00:00"/>
    <x v="1"/>
    <s v="NA"/>
    <x v="2"/>
    <x v="1"/>
    <x v="1"/>
    <n v="650"/>
    <x v="1"/>
    <n v="0"/>
    <n v="8000"/>
    <n v="6750"/>
    <s v="Dinner"/>
  </r>
  <r>
    <d v="2025-02-09T00:00:00"/>
    <x v="1"/>
    <s v="NA"/>
    <x v="7"/>
    <x v="0"/>
    <x v="0"/>
    <n v="5000"/>
    <x v="1"/>
    <n v="0"/>
    <n v="5000"/>
    <n v="0"/>
    <s v="Loan"/>
  </r>
  <r>
    <d v="2025-02-10T00:00:00"/>
    <x v="1"/>
    <s v="NA"/>
    <x v="4"/>
    <x v="1"/>
    <x v="1"/>
    <n v="400"/>
    <x v="1"/>
    <n v="0"/>
    <n v="3000"/>
    <n v="2300"/>
    <s v="Bus"/>
  </r>
  <r>
    <d v="2025-02-11T00:00:00"/>
    <x v="1"/>
    <s v="NA"/>
    <x v="2"/>
    <x v="1"/>
    <x v="1"/>
    <n v="700"/>
    <x v="1"/>
    <n v="0"/>
    <n v="8000"/>
    <n v="6050"/>
    <s v="Groceries"/>
  </r>
  <r>
    <d v="2025-02-12T00:00:00"/>
    <x v="1"/>
    <s v="NA"/>
    <x v="5"/>
    <x v="1"/>
    <x v="2"/>
    <n v="1800"/>
    <x v="1"/>
    <n v="0"/>
    <n v="5000"/>
    <n v="3200"/>
    <s v="Online"/>
  </r>
  <r>
    <d v="2025-02-13T00:00:00"/>
    <x v="1"/>
    <s v="NA"/>
    <x v="6"/>
    <x v="0"/>
    <x v="0"/>
    <n v="1200"/>
    <x v="1"/>
    <n v="0"/>
    <n v="2000"/>
    <n v="800"/>
    <s v="Water"/>
  </r>
  <r>
    <d v="2025-02-14T00:00:00"/>
    <x v="1"/>
    <s v="NA"/>
    <x v="2"/>
    <x v="1"/>
    <x v="1"/>
    <n v="500"/>
    <x v="1"/>
    <n v="0"/>
    <n v="8000"/>
    <n v="5550"/>
    <s v="Snacks"/>
  </r>
  <r>
    <d v="2025-02-15T00:00:00"/>
    <x v="1"/>
    <s v="NA"/>
    <x v="4"/>
    <x v="1"/>
    <x v="1"/>
    <n v="350"/>
    <x v="1"/>
    <n v="0"/>
    <n v="3000"/>
    <n v="1950"/>
    <s v="Auto"/>
  </r>
  <r>
    <d v="2025-02-16T00:00:00"/>
    <x v="1"/>
    <s v="Freelance"/>
    <x v="3"/>
    <x v="1"/>
    <x v="1"/>
    <n v="5000"/>
    <x v="0"/>
    <n v="5000"/>
    <n v="0"/>
    <n v="0"/>
    <s v="Side work"/>
  </r>
  <r>
    <d v="2025-02-17T00:00:00"/>
    <x v="1"/>
    <s v="NA"/>
    <x v="5"/>
    <x v="1"/>
    <x v="2"/>
    <n v="2000"/>
    <x v="1"/>
    <n v="0"/>
    <n v="5000"/>
    <n v="3000"/>
    <s v="Accessories"/>
  </r>
  <r>
    <d v="2025-02-18T00:00:00"/>
    <x v="1"/>
    <s v="NA"/>
    <x v="2"/>
    <x v="1"/>
    <x v="1"/>
    <n v="650"/>
    <x v="1"/>
    <n v="0"/>
    <n v="8000"/>
    <n v="4900"/>
    <s v="Lunch"/>
  </r>
  <r>
    <d v="2025-02-19T00:00:00"/>
    <x v="1"/>
    <s v="NA"/>
    <x v="4"/>
    <x v="1"/>
    <x v="1"/>
    <n v="300"/>
    <x v="1"/>
    <n v="0"/>
    <n v="3000"/>
    <n v="1650"/>
    <s v="Metro"/>
  </r>
  <r>
    <d v="2025-02-20T00:00:00"/>
    <x v="1"/>
    <s v="NA"/>
    <x v="6"/>
    <x v="0"/>
    <x v="0"/>
    <n v="900"/>
    <x v="1"/>
    <n v="0"/>
    <n v="2000"/>
    <n v="1100"/>
    <s v="Intern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2EC720-8917-49E6-8033-A48C3DBA7B75}"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J5:K8" firstHeaderRow="1" firstDataRow="1" firstDataCol="1" rowPageCount="1" colPageCount="1"/>
  <pivotFields count="12">
    <pivotField numFmtId="14" showAll="0"/>
    <pivotField axis="axisRow" showAll="0">
      <items count="3">
        <item x="0"/>
        <item x="1"/>
        <item t="default"/>
      </items>
    </pivotField>
    <pivotField showAll="0"/>
    <pivotField showAll="0">
      <items count="9">
        <item x="6"/>
        <item x="7"/>
        <item x="2"/>
        <item x="3"/>
        <item x="1"/>
        <item x="0"/>
        <item x="5"/>
        <item x="4"/>
        <item t="default"/>
      </items>
    </pivotField>
    <pivotField showAll="0"/>
    <pivotField showAll="0"/>
    <pivotField dataField="1" showAll="0"/>
    <pivotField axis="axisPage" showAll="0">
      <items count="3">
        <item x="1"/>
        <item x="0"/>
        <item t="default"/>
      </items>
    </pivotField>
    <pivotField showAll="0"/>
    <pivotField showAll="0"/>
    <pivotField showAll="0"/>
    <pivotField showAll="0"/>
  </pivotFields>
  <rowFields count="1">
    <field x="1"/>
  </rowFields>
  <rowItems count="3">
    <i>
      <x/>
    </i>
    <i>
      <x v="1"/>
    </i>
    <i t="grand">
      <x/>
    </i>
  </rowItems>
  <colItems count="1">
    <i/>
  </colItems>
  <pageFields count="1">
    <pageField fld="7" hier="-1"/>
  </pageFields>
  <dataFields count="1">
    <dataField name="Sum of Amount"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2DBD95-220E-4F1A-A38B-4C8FDFDC67C6}" name="Pivo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xpenses Category">
  <location ref="A5:B14" firstHeaderRow="1" firstDataRow="1" firstDataCol="1" rowPageCount="1" colPageCount="1"/>
  <pivotFields count="12">
    <pivotField numFmtId="14" showAll="0"/>
    <pivotField showAll="0">
      <items count="3">
        <item x="0"/>
        <item x="1"/>
        <item t="default"/>
      </items>
    </pivotField>
    <pivotField showAll="0"/>
    <pivotField axis="axisRow" showAll="0" sortType="descending">
      <items count="9">
        <item x="6"/>
        <item x="7"/>
        <item x="2"/>
        <item x="3"/>
        <item x="1"/>
        <item x="0"/>
        <item x="5"/>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dataField="1" showAll="0"/>
    <pivotField axis="axisPage" showAll="0">
      <items count="3">
        <item x="1"/>
        <item x="0"/>
        <item t="default"/>
      </items>
    </pivotField>
    <pivotField showAll="0"/>
    <pivotField showAll="0"/>
    <pivotField showAll="0"/>
    <pivotField showAll="0"/>
  </pivotFields>
  <rowFields count="1">
    <field x="3"/>
  </rowFields>
  <rowItems count="9">
    <i>
      <x v="5"/>
    </i>
    <i>
      <x v="4"/>
    </i>
    <i>
      <x v="3"/>
    </i>
    <i>
      <x v="6"/>
    </i>
    <i>
      <x v="1"/>
    </i>
    <i>
      <x/>
    </i>
    <i>
      <x v="2"/>
    </i>
    <i>
      <x v="7"/>
    </i>
    <i t="grand">
      <x/>
    </i>
  </rowItems>
  <colItems count="1">
    <i/>
  </colItems>
  <pageFields count="1">
    <pageField fld="7" hier="-1"/>
  </pageFields>
  <dataFields count="1">
    <dataField name="Sum of Amount" fld="6" baseField="0" baseItem="0" numFmtId="164"/>
  </dataField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4"/>
          </reference>
        </references>
      </pivotArea>
    </chartFormat>
    <chartFormat chart="2" format="4">
      <pivotArea type="data" outline="0" fieldPosition="0">
        <references count="2">
          <reference field="4294967294" count="1" selected="0">
            <x v="0"/>
          </reference>
          <reference field="3" count="1" selected="0">
            <x v="5"/>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6"/>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3255EB-99CB-4D51-9E2B-227EB3FDA2C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xpenses Type">
  <location ref="J25:K28" firstHeaderRow="1" firstDataRow="1" firstDataCol="1" rowPageCount="1" colPageCount="1"/>
  <pivotFields count="12">
    <pivotField numFmtId="14" showAll="0"/>
    <pivotField showAll="0"/>
    <pivotField showAll="0"/>
    <pivotField showAll="0">
      <items count="9">
        <item x="6"/>
        <item x="7"/>
        <item x="2"/>
        <item x="3"/>
        <item x="1"/>
        <item x="0"/>
        <item x="5"/>
        <item x="4"/>
        <item t="default"/>
      </items>
    </pivotField>
    <pivotField axis="axisRow" showAll="0">
      <items count="3">
        <item x="0"/>
        <item x="1"/>
        <item t="default"/>
      </items>
    </pivotField>
    <pivotField showAll="0"/>
    <pivotField dataField="1" showAll="0"/>
    <pivotField axis="axisPage" showAll="0">
      <items count="3">
        <item x="1"/>
        <item x="0"/>
        <item t="default"/>
      </items>
    </pivotField>
    <pivotField showAll="0"/>
    <pivotField showAll="0"/>
    <pivotField showAll="0"/>
    <pivotField showAll="0"/>
  </pivotFields>
  <rowFields count="1">
    <field x="4"/>
  </rowFields>
  <rowItems count="3">
    <i>
      <x/>
    </i>
    <i>
      <x v="1"/>
    </i>
    <i t="grand">
      <x/>
    </i>
  </rowItems>
  <colItems count="1">
    <i/>
  </colItems>
  <pageFields count="1">
    <pageField fld="7" hier="-1"/>
  </pageFields>
  <dataFields count="1">
    <dataField name="Sum of Amount" fld="6" baseField="0" baseItem="0" numFmtId="164"/>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E64B4-20BD-4FE5-92CE-0CC8E116F3E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ayment Mode">
  <location ref="A23:B27" firstHeaderRow="1" firstDataRow="1" firstDataCol="1"/>
  <pivotFields count="12">
    <pivotField numFmtId="14" showAll="0"/>
    <pivotField showAll="0"/>
    <pivotField showAll="0"/>
    <pivotField showAll="0">
      <items count="9">
        <item x="6"/>
        <item x="7"/>
        <item x="2"/>
        <item x="3"/>
        <item x="1"/>
        <item x="0"/>
        <item x="5"/>
        <item x="4"/>
        <item t="default"/>
      </items>
    </pivotField>
    <pivotField showAll="0">
      <items count="3">
        <item x="0"/>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showAll="0"/>
    <pivotField showAll="0">
      <items count="3">
        <item x="1"/>
        <item x="0"/>
        <item t="default"/>
      </items>
    </pivotField>
    <pivotField showAll="0"/>
    <pivotField showAll="0"/>
    <pivotField showAll="0"/>
    <pivotField showAll="0"/>
  </pivotFields>
  <rowFields count="1">
    <field x="5"/>
  </rowFields>
  <rowItems count="4">
    <i>
      <x/>
    </i>
    <i>
      <x v="2"/>
    </i>
    <i>
      <x v="1"/>
    </i>
    <i t="grand">
      <x/>
    </i>
  </rowItems>
  <colItems count="1">
    <i/>
  </colItems>
  <dataFields count="1">
    <dataField name="Sum of Amount" fld="6"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F10E2F-0114-4E3D-A507-517B303AB743}" sourceName="Month">
  <pivotTables>
    <pivotTable tabId="5" name="Pivot"/>
  </pivotTables>
  <data>
    <tabular pivotCacheId="18896349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Type" xr10:uid="{8BB0924A-F9A1-442B-B19A-88844487347E}" sourceName="Expense Type">
  <pivotTables>
    <pivotTable tabId="5" name="Pivot"/>
  </pivotTables>
  <data>
    <tabular pivotCacheId="188963498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24E6CDB-1912-4C43-AEA5-4A30BF0BBF7E}" sourceName="Payment Mode">
  <pivotTables>
    <pivotTable tabId="5" name="PivotTable6"/>
  </pivotTables>
  <data>
    <tabular pivotCacheId="188963498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 xr10:uid="{A85D1E01-A41E-450E-8F4E-6CA3E2EAD79A}" sourceName="Indicator">
  <pivotTables>
    <pivotTable tabId="5" name="PivotTable7"/>
  </pivotTables>
  <data>
    <tabular pivotCacheId="18896349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26EBFA0-92F4-4D08-BB96-D1971299968B}" cache="Slicer_Month" caption="Month" rowHeight="247650"/>
  <slicer name="Expense Type" xr10:uid="{392869D3-A64F-46FA-9DFA-AB0ADA69F200}" cache="Slicer_Expense_Type" caption="Expense Type" rowHeight="247650"/>
  <slicer name="Payment Mode" xr10:uid="{D6E13963-E6BE-4557-B63E-0DDB046D3AFD}" cache="Slicer_Payment_Mode" caption="Payment Mode" rowHeight="247650"/>
  <slicer name="Indicator" xr10:uid="{14F7AF2C-0314-4F25-B2CF-7405120C6501}" cache="Slicer_Indicator" caption="Indicato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BCF9F3-B6A6-4818-A451-8517F3DD4617}" name="Table1" displayName="Table1" ref="A1:L51" totalsRowShown="0">
  <autoFilter ref="A1:L51" xr:uid="{06BCF9F3-B6A6-4818-A451-8517F3DD4617}"/>
  <tableColumns count="12">
    <tableColumn id="1" xr3:uid="{5C4B88D8-48C5-4D3D-9211-9D177EF1103D}" name="Date" dataDxfId="6"/>
    <tableColumn id="2" xr3:uid="{3A06FB19-7D45-42EC-A3B2-619753551012}" name="Month"/>
    <tableColumn id="3" xr3:uid="{0B236508-F989-4F76-9B95-1C43BE5B16F6}" name="Income Source"/>
    <tableColumn id="4" xr3:uid="{1143B565-7ED9-4F09-958B-08413978F4CC}" name="Expense Category"/>
    <tableColumn id="5" xr3:uid="{1893E405-BC5B-40B1-8ADC-272CBEEF7C08}" name="Expense Type"/>
    <tableColumn id="6" xr3:uid="{051486D0-6223-4EB8-A4AB-BF385612E6FF}" name="Payment Mode"/>
    <tableColumn id="7" xr3:uid="{74D963D3-8F84-4EB4-8F15-C4262B2C2465}" name="Amount"/>
    <tableColumn id="8" xr3:uid="{4F756761-36E2-47CF-9660-DED907ACC24D}" name="Indicator"/>
    <tableColumn id="9" xr3:uid="{B470E4EC-26E3-4080-A669-B9A7CB94D4FC}" name="Savings"/>
    <tableColumn id="10" xr3:uid="{2FEE1C91-AB18-434D-9541-B4B600500EA6}" name="Budget Allocated"/>
    <tableColumn id="11" xr3:uid="{AA785C58-39A4-49FE-ACF0-68F6A4A5D560}" name="Budget Remaining"/>
    <tableColumn id="12" xr3:uid="{7F36509F-4830-42A7-9077-CB3AE084602C}" name="Notes"/>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53B531D-F309-418F-A9E5-534610A17B8B}" name="Finance_Data" displayName="Finance_Data" ref="A1:P51" totalsRowShown="0">
  <autoFilter ref="A1:P51" xr:uid="{D53B531D-F309-418F-A9E5-534610A17B8B}"/>
  <tableColumns count="16">
    <tableColumn id="1" xr3:uid="{0575F70F-EED7-4B03-9A9E-2BE887EF4F4B}" name="Date" dataDxfId="7"/>
    <tableColumn id="2" xr3:uid="{EA83E1F7-F22F-429C-8B5F-046ED4650101}" name="Month"/>
    <tableColumn id="3" xr3:uid="{8A241877-69EC-4C97-A6D7-696E856058A1}" name="Income Source"/>
    <tableColumn id="4" xr3:uid="{6EBACF05-E505-43A6-ADA5-224741E14302}" name="Expense Category"/>
    <tableColumn id="5" xr3:uid="{4E85DD5A-ABB5-4E08-87C4-1C04F4D256F6}" name="Expense Type"/>
    <tableColumn id="6" xr3:uid="{47727ED1-EBDD-4FCD-9DEC-7CCB3EF5781B}" name="Payment Mode"/>
    <tableColumn id="7" xr3:uid="{F9E39E84-37DE-4598-BF01-620FEBC59393}" name="Amount"/>
    <tableColumn id="8" xr3:uid="{A091B190-CF58-42B7-9613-B2A81C279174}" name="Indicator"/>
    <tableColumn id="9" xr3:uid="{CA04DA3B-1192-49DD-993D-66E52CEE2D4F}" name="Savings"/>
    <tableColumn id="10" xr3:uid="{6D4E02AB-2595-4DFC-B3F2-628B57AC46DC}" name="Budget Allocated"/>
    <tableColumn id="11" xr3:uid="{65ED1431-4458-4670-BA31-8BAF97C530F9}" name="Budget Remaining"/>
    <tableColumn id="12" xr3:uid="{2170A4BA-66BE-4FDA-B98E-D94E9BBCF180}" name="Notes"/>
    <tableColumn id="13" xr3:uid="{58895711-05C6-4058-9A6A-5CE45896925D}" name=" Income" dataDxfId="3">
      <calculatedColumnFormula>IF(Finance_Data[[#This Row],[Indicator]]="Income", Finance_Data[[#This Row],[Amount]], 0)</calculatedColumnFormula>
    </tableColumn>
    <tableColumn id="14" xr3:uid="{FBCC1713-D3A8-4A8B-A04C-8FBF3815EC51}" name="Expenses" dataDxfId="2">
      <calculatedColumnFormula>IF(Finance_Data[[#This Row],[Indicator]]="Expense", Finance_Data[[#This Row],[Amount]], 0)</calculatedColumnFormula>
    </tableColumn>
    <tableColumn id="15" xr3:uid="{C96A949A-173C-4C17-82C7-F9FF3A40F992}" name="Net Savings" dataDxfId="1">
      <calculatedColumnFormula>Finance_Data[[#This Row],[ Income]]-Finance_Data[[#This Row],[Expenses]]</calculatedColumnFormula>
    </tableColumn>
    <tableColumn id="16" xr3:uid="{0DAFA122-160A-40C0-8188-98C896C1F0E4}" name="Savings%" dataDxfId="0">
      <calculatedColumnFormula>IFERROR(Finance_Data[[#This Row],[Savings]]/Finance_Data[[#This Row],[ Income]],0)</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70279B-7018-4FE6-ACE6-A6ABD839F755}" name="Table2" displayName="Table2" ref="A1:B5" totalsRowShown="0" headerRowDxfId="4">
  <autoFilter ref="A1:B5" xr:uid="{D970279B-7018-4FE6-ACE6-A6ABD839F755}"/>
  <tableColumns count="2">
    <tableColumn id="1" xr3:uid="{2DAE1D5B-58A5-4295-AE33-68F040DA2895}" name="KPI" dataDxfId="5"/>
    <tableColumn id="2" xr3:uid="{8AA7D9AB-D484-445B-849B-5C18336EDA4B}"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D310-857E-433F-AB5C-3C09D8F5AE68}">
  <dimension ref="A1:L59"/>
  <sheetViews>
    <sheetView workbookViewId="0">
      <selection activeCell="D21" sqref="D21"/>
    </sheetView>
  </sheetViews>
  <sheetFormatPr defaultRowHeight="14.4" x14ac:dyDescent="0.3"/>
  <cols>
    <col min="1" max="1" width="10.33203125" bestFit="1" customWidth="1"/>
    <col min="2" max="2" width="6" bestFit="1" customWidth="1"/>
    <col min="3" max="3" width="13.109375" bestFit="1" customWidth="1"/>
    <col min="4" max="4" width="15.21875" bestFit="1" customWidth="1"/>
    <col min="5" max="5" width="11.6640625" bestFit="1" customWidth="1"/>
    <col min="6" max="6" width="12.77734375" bestFit="1" customWidth="1"/>
    <col min="10" max="10" width="14.5546875" bestFit="1" customWidth="1"/>
    <col min="11" max="11" width="15.441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v>45658</v>
      </c>
      <c r="B2" t="s">
        <v>12</v>
      </c>
      <c r="C2" t="s">
        <v>13</v>
      </c>
      <c r="D2" t="s">
        <v>13</v>
      </c>
      <c r="E2" t="s">
        <v>14</v>
      </c>
      <c r="F2" t="s">
        <v>15</v>
      </c>
      <c r="G2">
        <v>50000</v>
      </c>
      <c r="H2" t="s">
        <v>16</v>
      </c>
      <c r="I2">
        <v>50000</v>
      </c>
      <c r="J2">
        <v>0</v>
      </c>
      <c r="K2">
        <v>0</v>
      </c>
      <c r="L2" t="s">
        <v>45</v>
      </c>
    </row>
    <row r="3" spans="1:12" x14ac:dyDescent="0.3">
      <c r="A3" s="1">
        <v>45659</v>
      </c>
      <c r="B3" t="s">
        <v>12</v>
      </c>
      <c r="C3" t="s">
        <v>51</v>
      </c>
      <c r="D3" t="s">
        <v>17</v>
      </c>
      <c r="E3" t="s">
        <v>14</v>
      </c>
      <c r="F3" t="s">
        <v>15</v>
      </c>
      <c r="G3">
        <v>15000</v>
      </c>
      <c r="H3" t="s">
        <v>18</v>
      </c>
      <c r="I3">
        <v>0</v>
      </c>
      <c r="J3">
        <v>15000</v>
      </c>
      <c r="K3">
        <v>0</v>
      </c>
      <c r="L3" t="s">
        <v>46</v>
      </c>
    </row>
    <row r="4" spans="1:12" x14ac:dyDescent="0.3">
      <c r="A4" s="1">
        <v>45660</v>
      </c>
      <c r="B4" t="s">
        <v>12</v>
      </c>
      <c r="C4" t="s">
        <v>51</v>
      </c>
      <c r="D4" t="s">
        <v>19</v>
      </c>
      <c r="E4" t="s">
        <v>20</v>
      </c>
      <c r="F4" t="s">
        <v>21</v>
      </c>
      <c r="G4">
        <v>500</v>
      </c>
      <c r="H4" t="s">
        <v>18</v>
      </c>
      <c r="I4">
        <v>0</v>
      </c>
      <c r="J4">
        <v>8000</v>
      </c>
      <c r="K4">
        <v>7500</v>
      </c>
      <c r="L4" t="s">
        <v>22</v>
      </c>
    </row>
    <row r="5" spans="1:12" x14ac:dyDescent="0.3">
      <c r="A5" s="1">
        <v>45661</v>
      </c>
      <c r="B5" t="s">
        <v>12</v>
      </c>
      <c r="C5" t="s">
        <v>23</v>
      </c>
      <c r="D5" t="s">
        <v>23</v>
      </c>
      <c r="E5" t="s">
        <v>20</v>
      </c>
      <c r="F5" t="s">
        <v>21</v>
      </c>
      <c r="G5">
        <v>8000</v>
      </c>
      <c r="H5" t="s">
        <v>16</v>
      </c>
      <c r="I5">
        <v>8000</v>
      </c>
      <c r="J5">
        <v>0</v>
      </c>
      <c r="K5">
        <v>0</v>
      </c>
      <c r="L5" t="s">
        <v>47</v>
      </c>
    </row>
    <row r="6" spans="1:12" x14ac:dyDescent="0.3">
      <c r="A6" s="1">
        <v>45662</v>
      </c>
      <c r="B6" t="s">
        <v>12</v>
      </c>
      <c r="C6" t="s">
        <v>51</v>
      </c>
      <c r="D6" t="s">
        <v>24</v>
      </c>
      <c r="E6" t="s">
        <v>20</v>
      </c>
      <c r="F6" t="s">
        <v>21</v>
      </c>
      <c r="G6">
        <v>300</v>
      </c>
      <c r="H6" t="s">
        <v>18</v>
      </c>
      <c r="I6">
        <v>0</v>
      </c>
      <c r="J6">
        <v>3000</v>
      </c>
      <c r="K6">
        <v>2700</v>
      </c>
      <c r="L6" t="s">
        <v>25</v>
      </c>
    </row>
    <row r="7" spans="1:12" x14ac:dyDescent="0.3">
      <c r="A7" s="1">
        <v>45663</v>
      </c>
      <c r="B7" t="s">
        <v>12</v>
      </c>
      <c r="C7" t="s">
        <v>51</v>
      </c>
      <c r="D7" t="s">
        <v>26</v>
      </c>
      <c r="E7" t="s">
        <v>20</v>
      </c>
      <c r="F7" t="s">
        <v>27</v>
      </c>
      <c r="G7">
        <v>2000</v>
      </c>
      <c r="H7" t="s">
        <v>18</v>
      </c>
      <c r="I7">
        <v>0</v>
      </c>
      <c r="J7">
        <v>5000</v>
      </c>
      <c r="K7">
        <v>3000</v>
      </c>
      <c r="L7" t="s">
        <v>28</v>
      </c>
    </row>
    <row r="8" spans="1:12" x14ac:dyDescent="0.3">
      <c r="A8" s="1">
        <v>45664</v>
      </c>
      <c r="B8" t="s">
        <v>12</v>
      </c>
      <c r="C8" t="s">
        <v>51</v>
      </c>
      <c r="D8" t="s">
        <v>29</v>
      </c>
      <c r="E8" t="s">
        <v>14</v>
      </c>
      <c r="F8" t="s">
        <v>15</v>
      </c>
      <c r="G8">
        <v>1500</v>
      </c>
      <c r="H8" t="s">
        <v>18</v>
      </c>
      <c r="I8">
        <v>0</v>
      </c>
      <c r="J8">
        <v>2000</v>
      </c>
      <c r="K8">
        <v>500</v>
      </c>
      <c r="L8" t="s">
        <v>30</v>
      </c>
    </row>
    <row r="9" spans="1:12" x14ac:dyDescent="0.3">
      <c r="A9" s="1">
        <v>45665</v>
      </c>
      <c r="B9" t="s">
        <v>12</v>
      </c>
      <c r="C9" t="s">
        <v>51</v>
      </c>
      <c r="D9" t="s">
        <v>19</v>
      </c>
      <c r="E9" t="s">
        <v>20</v>
      </c>
      <c r="F9" t="s">
        <v>21</v>
      </c>
      <c r="G9">
        <v>600</v>
      </c>
      <c r="H9" t="s">
        <v>18</v>
      </c>
      <c r="I9">
        <v>0</v>
      </c>
      <c r="J9">
        <v>8000</v>
      </c>
      <c r="K9">
        <v>6900</v>
      </c>
      <c r="L9" t="s">
        <v>31</v>
      </c>
    </row>
    <row r="10" spans="1:12" x14ac:dyDescent="0.3">
      <c r="A10" s="1">
        <v>45666</v>
      </c>
      <c r="B10" t="s">
        <v>12</v>
      </c>
      <c r="C10" t="s">
        <v>51</v>
      </c>
      <c r="D10" t="s">
        <v>32</v>
      </c>
      <c r="E10" t="s">
        <v>14</v>
      </c>
      <c r="F10" t="s">
        <v>15</v>
      </c>
      <c r="G10">
        <v>5000</v>
      </c>
      <c r="H10" t="s">
        <v>18</v>
      </c>
      <c r="I10">
        <v>0</v>
      </c>
      <c r="J10">
        <v>5000</v>
      </c>
      <c r="K10">
        <v>0</v>
      </c>
      <c r="L10" t="s">
        <v>48</v>
      </c>
    </row>
    <row r="11" spans="1:12" x14ac:dyDescent="0.3">
      <c r="A11" s="1">
        <v>45667</v>
      </c>
      <c r="B11" t="s">
        <v>12</v>
      </c>
      <c r="C11" t="s">
        <v>51</v>
      </c>
      <c r="D11" t="s">
        <v>24</v>
      </c>
      <c r="E11" t="s">
        <v>20</v>
      </c>
      <c r="F11" t="s">
        <v>21</v>
      </c>
      <c r="G11">
        <v>400</v>
      </c>
      <c r="H11" t="s">
        <v>18</v>
      </c>
      <c r="I11">
        <v>0</v>
      </c>
      <c r="J11">
        <v>3000</v>
      </c>
      <c r="K11">
        <v>2600</v>
      </c>
      <c r="L11" t="s">
        <v>34</v>
      </c>
    </row>
    <row r="12" spans="1:12" x14ac:dyDescent="0.3">
      <c r="A12" s="1">
        <v>45668</v>
      </c>
      <c r="B12" t="s">
        <v>12</v>
      </c>
      <c r="C12" t="s">
        <v>51</v>
      </c>
      <c r="D12" t="s">
        <v>19</v>
      </c>
      <c r="E12" t="s">
        <v>20</v>
      </c>
      <c r="F12" t="s">
        <v>21</v>
      </c>
      <c r="G12">
        <v>700</v>
      </c>
      <c r="H12" t="s">
        <v>18</v>
      </c>
      <c r="I12">
        <v>0</v>
      </c>
      <c r="J12">
        <v>8000</v>
      </c>
      <c r="K12">
        <v>6200</v>
      </c>
      <c r="L12" t="s">
        <v>35</v>
      </c>
    </row>
    <row r="13" spans="1:12" x14ac:dyDescent="0.3">
      <c r="A13" s="1">
        <v>45669</v>
      </c>
      <c r="B13" t="s">
        <v>12</v>
      </c>
      <c r="C13" t="s">
        <v>51</v>
      </c>
      <c r="D13" t="s">
        <v>26</v>
      </c>
      <c r="E13" t="s">
        <v>20</v>
      </c>
      <c r="F13" t="s">
        <v>27</v>
      </c>
      <c r="G13">
        <v>1500</v>
      </c>
      <c r="H13" t="s">
        <v>18</v>
      </c>
      <c r="I13">
        <v>0</v>
      </c>
      <c r="J13">
        <v>5000</v>
      </c>
      <c r="K13">
        <v>3500</v>
      </c>
      <c r="L13" t="s">
        <v>36</v>
      </c>
    </row>
    <row r="14" spans="1:12" x14ac:dyDescent="0.3">
      <c r="A14" s="1">
        <v>45670</v>
      </c>
      <c r="B14" t="s">
        <v>12</v>
      </c>
      <c r="C14" t="s">
        <v>51</v>
      </c>
      <c r="D14" t="s">
        <v>29</v>
      </c>
      <c r="E14" t="s">
        <v>14</v>
      </c>
      <c r="F14" t="s">
        <v>15</v>
      </c>
      <c r="G14">
        <v>1200</v>
      </c>
      <c r="H14" t="s">
        <v>18</v>
      </c>
      <c r="I14">
        <v>0</v>
      </c>
      <c r="J14">
        <v>2000</v>
      </c>
      <c r="K14">
        <v>800</v>
      </c>
      <c r="L14" t="s">
        <v>37</v>
      </c>
    </row>
    <row r="15" spans="1:12" x14ac:dyDescent="0.3">
      <c r="A15" s="1">
        <v>45671</v>
      </c>
      <c r="B15" t="s">
        <v>12</v>
      </c>
      <c r="C15" t="s">
        <v>51</v>
      </c>
      <c r="D15" t="s">
        <v>19</v>
      </c>
      <c r="E15" t="s">
        <v>20</v>
      </c>
      <c r="F15" t="s">
        <v>21</v>
      </c>
      <c r="G15">
        <v>450</v>
      </c>
      <c r="H15" t="s">
        <v>18</v>
      </c>
      <c r="I15">
        <v>0</v>
      </c>
      <c r="J15">
        <v>8000</v>
      </c>
      <c r="K15">
        <v>5750</v>
      </c>
      <c r="L15" t="s">
        <v>38</v>
      </c>
    </row>
    <row r="16" spans="1:12" x14ac:dyDescent="0.3">
      <c r="A16" s="1">
        <v>45672</v>
      </c>
      <c r="B16" t="s">
        <v>12</v>
      </c>
      <c r="C16" t="s">
        <v>51</v>
      </c>
      <c r="D16" t="s">
        <v>24</v>
      </c>
      <c r="E16" t="s">
        <v>20</v>
      </c>
      <c r="F16" t="s">
        <v>21</v>
      </c>
      <c r="G16">
        <v>350</v>
      </c>
      <c r="H16" t="s">
        <v>18</v>
      </c>
      <c r="I16">
        <v>0</v>
      </c>
      <c r="J16">
        <v>3000</v>
      </c>
      <c r="K16">
        <v>2250</v>
      </c>
      <c r="L16" t="s">
        <v>25</v>
      </c>
    </row>
    <row r="17" spans="1:12" x14ac:dyDescent="0.3">
      <c r="A17" s="1">
        <v>45673</v>
      </c>
      <c r="B17" t="s">
        <v>12</v>
      </c>
      <c r="C17" t="s">
        <v>23</v>
      </c>
      <c r="D17" t="s">
        <v>23</v>
      </c>
      <c r="E17" t="s">
        <v>20</v>
      </c>
      <c r="F17" t="s">
        <v>21</v>
      </c>
      <c r="G17">
        <v>6000</v>
      </c>
      <c r="H17" t="s">
        <v>16</v>
      </c>
      <c r="I17">
        <v>6000</v>
      </c>
      <c r="J17">
        <v>0</v>
      </c>
      <c r="K17">
        <v>0</v>
      </c>
      <c r="L17" t="s">
        <v>49</v>
      </c>
    </row>
    <row r="18" spans="1:12" x14ac:dyDescent="0.3">
      <c r="A18" s="1">
        <v>45674</v>
      </c>
      <c r="B18" t="s">
        <v>12</v>
      </c>
      <c r="C18" t="s">
        <v>51</v>
      </c>
      <c r="D18" t="s">
        <v>26</v>
      </c>
      <c r="E18" t="s">
        <v>20</v>
      </c>
      <c r="F18" t="s">
        <v>27</v>
      </c>
      <c r="G18">
        <v>2200</v>
      </c>
      <c r="H18" t="s">
        <v>18</v>
      </c>
      <c r="I18">
        <v>0</v>
      </c>
      <c r="J18">
        <v>5000</v>
      </c>
      <c r="K18">
        <v>2800</v>
      </c>
      <c r="L18" t="s">
        <v>39</v>
      </c>
    </row>
    <row r="19" spans="1:12" x14ac:dyDescent="0.3">
      <c r="A19" s="1">
        <v>45675</v>
      </c>
      <c r="B19" t="s">
        <v>12</v>
      </c>
      <c r="C19" t="s">
        <v>51</v>
      </c>
      <c r="D19" t="s">
        <v>19</v>
      </c>
      <c r="E19" t="s">
        <v>20</v>
      </c>
      <c r="F19" t="s">
        <v>21</v>
      </c>
      <c r="G19">
        <v>650</v>
      </c>
      <c r="H19" t="s">
        <v>18</v>
      </c>
      <c r="I19">
        <v>0</v>
      </c>
      <c r="J19">
        <v>8000</v>
      </c>
      <c r="K19">
        <v>5100</v>
      </c>
      <c r="L19" t="s">
        <v>22</v>
      </c>
    </row>
    <row r="20" spans="1:12" x14ac:dyDescent="0.3">
      <c r="A20" s="1">
        <v>45676</v>
      </c>
      <c r="B20" t="s">
        <v>12</v>
      </c>
      <c r="C20" t="s">
        <v>51</v>
      </c>
      <c r="D20" t="s">
        <v>24</v>
      </c>
      <c r="E20" t="s">
        <v>20</v>
      </c>
      <c r="F20" t="s">
        <v>21</v>
      </c>
      <c r="G20">
        <v>300</v>
      </c>
      <c r="H20" t="s">
        <v>18</v>
      </c>
      <c r="I20">
        <v>0</v>
      </c>
      <c r="J20">
        <v>3000</v>
      </c>
      <c r="K20">
        <v>1950</v>
      </c>
      <c r="L20" t="s">
        <v>40</v>
      </c>
    </row>
    <row r="21" spans="1:12" x14ac:dyDescent="0.3">
      <c r="A21" s="1">
        <v>45677</v>
      </c>
      <c r="B21" t="s">
        <v>12</v>
      </c>
      <c r="C21" t="s">
        <v>51</v>
      </c>
      <c r="D21" t="s">
        <v>29</v>
      </c>
      <c r="E21" t="s">
        <v>14</v>
      </c>
      <c r="F21" t="s">
        <v>15</v>
      </c>
      <c r="G21">
        <v>800</v>
      </c>
      <c r="H21" t="s">
        <v>18</v>
      </c>
      <c r="I21">
        <v>0</v>
      </c>
      <c r="J21">
        <v>2000</v>
      </c>
      <c r="K21">
        <v>1200</v>
      </c>
      <c r="L21" t="s">
        <v>41</v>
      </c>
    </row>
    <row r="22" spans="1:12" x14ac:dyDescent="0.3">
      <c r="A22" s="1">
        <v>45678</v>
      </c>
      <c r="B22" t="s">
        <v>12</v>
      </c>
      <c r="C22" t="s">
        <v>51</v>
      </c>
      <c r="D22" t="s">
        <v>19</v>
      </c>
      <c r="E22" t="s">
        <v>20</v>
      </c>
      <c r="F22" t="s">
        <v>21</v>
      </c>
      <c r="G22">
        <v>550</v>
      </c>
      <c r="H22" t="s">
        <v>18</v>
      </c>
      <c r="I22">
        <v>0</v>
      </c>
      <c r="J22">
        <v>8000</v>
      </c>
      <c r="K22">
        <v>4550</v>
      </c>
      <c r="L22" t="s">
        <v>31</v>
      </c>
    </row>
    <row r="23" spans="1:12" x14ac:dyDescent="0.3">
      <c r="A23" s="1">
        <v>45679</v>
      </c>
      <c r="B23" t="s">
        <v>12</v>
      </c>
      <c r="C23" t="s">
        <v>51</v>
      </c>
      <c r="D23" t="s">
        <v>26</v>
      </c>
      <c r="E23" t="s">
        <v>20</v>
      </c>
      <c r="F23" t="s">
        <v>27</v>
      </c>
      <c r="G23">
        <v>1800</v>
      </c>
      <c r="H23" t="s">
        <v>18</v>
      </c>
      <c r="I23">
        <v>0</v>
      </c>
      <c r="J23">
        <v>5000</v>
      </c>
      <c r="K23">
        <v>3200</v>
      </c>
      <c r="L23" t="s">
        <v>36</v>
      </c>
    </row>
    <row r="24" spans="1:12" x14ac:dyDescent="0.3">
      <c r="A24" s="1">
        <v>45680</v>
      </c>
      <c r="B24" t="s">
        <v>12</v>
      </c>
      <c r="C24" t="s">
        <v>51</v>
      </c>
      <c r="D24" t="s">
        <v>24</v>
      </c>
      <c r="E24" t="s">
        <v>20</v>
      </c>
      <c r="F24" t="s">
        <v>21</v>
      </c>
      <c r="G24">
        <v>250</v>
      </c>
      <c r="H24" t="s">
        <v>18</v>
      </c>
      <c r="I24">
        <v>0</v>
      </c>
      <c r="J24">
        <v>3000</v>
      </c>
      <c r="K24">
        <v>1700</v>
      </c>
      <c r="L24" t="s">
        <v>25</v>
      </c>
    </row>
    <row r="25" spans="1:12" x14ac:dyDescent="0.3">
      <c r="A25" s="1">
        <v>45681</v>
      </c>
      <c r="B25" t="s">
        <v>12</v>
      </c>
      <c r="C25" t="s">
        <v>51</v>
      </c>
      <c r="D25" t="s">
        <v>19</v>
      </c>
      <c r="E25" t="s">
        <v>20</v>
      </c>
      <c r="F25" t="s">
        <v>21</v>
      </c>
      <c r="G25">
        <v>700</v>
      </c>
      <c r="H25" t="s">
        <v>18</v>
      </c>
      <c r="I25">
        <v>0</v>
      </c>
      <c r="J25">
        <v>8000</v>
      </c>
      <c r="K25">
        <v>3850</v>
      </c>
      <c r="L25" t="s">
        <v>35</v>
      </c>
    </row>
    <row r="26" spans="1:12" x14ac:dyDescent="0.3">
      <c r="A26" s="1">
        <v>45682</v>
      </c>
      <c r="B26" t="s">
        <v>12</v>
      </c>
      <c r="C26" t="s">
        <v>51</v>
      </c>
      <c r="D26" t="s">
        <v>29</v>
      </c>
      <c r="E26" t="s">
        <v>14</v>
      </c>
      <c r="F26" t="s">
        <v>15</v>
      </c>
      <c r="G26">
        <v>1000</v>
      </c>
      <c r="H26" t="s">
        <v>18</v>
      </c>
      <c r="I26">
        <v>0</v>
      </c>
      <c r="J26">
        <v>2000</v>
      </c>
      <c r="K26">
        <v>1000</v>
      </c>
      <c r="L26" t="s">
        <v>42</v>
      </c>
    </row>
    <row r="27" spans="1:12" x14ac:dyDescent="0.3">
      <c r="A27" s="1">
        <v>45683</v>
      </c>
      <c r="B27" t="s">
        <v>12</v>
      </c>
      <c r="C27" t="s">
        <v>51</v>
      </c>
      <c r="D27" t="s">
        <v>26</v>
      </c>
      <c r="E27" t="s">
        <v>20</v>
      </c>
      <c r="F27" t="s">
        <v>27</v>
      </c>
      <c r="G27">
        <v>1600</v>
      </c>
      <c r="H27" t="s">
        <v>18</v>
      </c>
      <c r="I27">
        <v>0</v>
      </c>
      <c r="J27">
        <v>5000</v>
      </c>
      <c r="K27">
        <v>3400</v>
      </c>
      <c r="L27" t="s">
        <v>28</v>
      </c>
    </row>
    <row r="28" spans="1:12" x14ac:dyDescent="0.3">
      <c r="A28" s="1">
        <v>45684</v>
      </c>
      <c r="B28" t="s">
        <v>12</v>
      </c>
      <c r="C28" t="s">
        <v>51</v>
      </c>
      <c r="D28" t="s">
        <v>24</v>
      </c>
      <c r="E28" t="s">
        <v>20</v>
      </c>
      <c r="F28" t="s">
        <v>21</v>
      </c>
      <c r="G28">
        <v>300</v>
      </c>
      <c r="H28" t="s">
        <v>18</v>
      </c>
      <c r="I28">
        <v>0</v>
      </c>
      <c r="J28">
        <v>3000</v>
      </c>
      <c r="K28">
        <v>1400</v>
      </c>
      <c r="L28" t="s">
        <v>34</v>
      </c>
    </row>
    <row r="29" spans="1:12" x14ac:dyDescent="0.3">
      <c r="A29" s="1">
        <v>45685</v>
      </c>
      <c r="B29" t="s">
        <v>12</v>
      </c>
      <c r="C29" t="s">
        <v>51</v>
      </c>
      <c r="D29" t="s">
        <v>19</v>
      </c>
      <c r="E29" t="s">
        <v>20</v>
      </c>
      <c r="F29" t="s">
        <v>21</v>
      </c>
      <c r="G29">
        <v>600</v>
      </c>
      <c r="H29" t="s">
        <v>18</v>
      </c>
      <c r="I29">
        <v>0</v>
      </c>
      <c r="J29">
        <v>8000</v>
      </c>
      <c r="K29">
        <v>3250</v>
      </c>
      <c r="L29" t="s">
        <v>31</v>
      </c>
    </row>
    <row r="30" spans="1:12" x14ac:dyDescent="0.3">
      <c r="A30" s="1">
        <v>45686</v>
      </c>
      <c r="B30" t="s">
        <v>12</v>
      </c>
      <c r="C30" t="s">
        <v>51</v>
      </c>
      <c r="D30" t="s">
        <v>26</v>
      </c>
      <c r="E30" t="s">
        <v>20</v>
      </c>
      <c r="F30" t="s">
        <v>27</v>
      </c>
      <c r="G30">
        <v>2000</v>
      </c>
      <c r="H30" t="s">
        <v>18</v>
      </c>
      <c r="I30">
        <v>0</v>
      </c>
      <c r="J30">
        <v>5000</v>
      </c>
      <c r="K30">
        <v>3000</v>
      </c>
      <c r="L30" t="s">
        <v>36</v>
      </c>
    </row>
    <row r="31" spans="1:12" x14ac:dyDescent="0.3">
      <c r="A31" s="1">
        <v>45687</v>
      </c>
      <c r="B31" t="s">
        <v>12</v>
      </c>
      <c r="C31" t="s">
        <v>51</v>
      </c>
      <c r="D31" t="s">
        <v>24</v>
      </c>
      <c r="E31" t="s">
        <v>20</v>
      </c>
      <c r="F31" t="s">
        <v>21</v>
      </c>
      <c r="G31">
        <v>350</v>
      </c>
      <c r="H31" t="s">
        <v>18</v>
      </c>
      <c r="I31">
        <v>0</v>
      </c>
      <c r="J31">
        <v>3000</v>
      </c>
      <c r="K31">
        <v>1050</v>
      </c>
      <c r="L31" t="s">
        <v>25</v>
      </c>
    </row>
    <row r="32" spans="1:12" x14ac:dyDescent="0.3">
      <c r="A32" s="1">
        <v>45689</v>
      </c>
      <c r="B32" t="s">
        <v>43</v>
      </c>
      <c r="C32" t="s">
        <v>13</v>
      </c>
      <c r="D32" t="s">
        <v>13</v>
      </c>
      <c r="E32" t="s">
        <v>14</v>
      </c>
      <c r="F32" t="s">
        <v>15</v>
      </c>
      <c r="G32">
        <v>50000</v>
      </c>
      <c r="H32" t="s">
        <v>16</v>
      </c>
      <c r="I32">
        <v>50000</v>
      </c>
      <c r="J32">
        <v>0</v>
      </c>
      <c r="K32">
        <v>0</v>
      </c>
      <c r="L32" t="s">
        <v>45</v>
      </c>
    </row>
    <row r="33" spans="1:12" x14ac:dyDescent="0.3">
      <c r="A33" s="1">
        <v>45690</v>
      </c>
      <c r="B33" t="s">
        <v>43</v>
      </c>
      <c r="C33" t="s">
        <v>51</v>
      </c>
      <c r="D33" t="s">
        <v>17</v>
      </c>
      <c r="E33" t="s">
        <v>14</v>
      </c>
      <c r="F33" t="s">
        <v>15</v>
      </c>
      <c r="G33">
        <v>15000</v>
      </c>
      <c r="H33" t="s">
        <v>18</v>
      </c>
      <c r="I33">
        <v>0</v>
      </c>
      <c r="J33">
        <v>15000</v>
      </c>
      <c r="K33">
        <v>0</v>
      </c>
      <c r="L33" t="s">
        <v>17</v>
      </c>
    </row>
    <row r="34" spans="1:12" x14ac:dyDescent="0.3">
      <c r="A34" s="1">
        <v>45691</v>
      </c>
      <c r="B34" t="s">
        <v>43</v>
      </c>
      <c r="C34" t="s">
        <v>51</v>
      </c>
      <c r="D34" t="s">
        <v>19</v>
      </c>
      <c r="E34" t="s">
        <v>20</v>
      </c>
      <c r="F34" t="s">
        <v>21</v>
      </c>
      <c r="G34">
        <v>600</v>
      </c>
      <c r="H34" t="s">
        <v>18</v>
      </c>
      <c r="I34">
        <v>0</v>
      </c>
      <c r="J34">
        <v>8000</v>
      </c>
      <c r="K34">
        <v>7400</v>
      </c>
      <c r="L34" t="s">
        <v>22</v>
      </c>
    </row>
    <row r="35" spans="1:12" x14ac:dyDescent="0.3">
      <c r="A35" s="1">
        <v>45692</v>
      </c>
      <c r="B35" t="s">
        <v>43</v>
      </c>
      <c r="C35" t="s">
        <v>23</v>
      </c>
      <c r="D35" t="s">
        <v>23</v>
      </c>
      <c r="E35" t="s">
        <v>20</v>
      </c>
      <c r="F35" t="s">
        <v>21</v>
      </c>
      <c r="G35">
        <v>7000</v>
      </c>
      <c r="H35" t="s">
        <v>16</v>
      </c>
      <c r="I35">
        <v>7000</v>
      </c>
      <c r="J35">
        <v>0</v>
      </c>
      <c r="K35">
        <v>0</v>
      </c>
      <c r="L35" t="s">
        <v>44</v>
      </c>
    </row>
    <row r="36" spans="1:12" x14ac:dyDescent="0.3">
      <c r="A36" s="1">
        <v>45693</v>
      </c>
      <c r="B36" t="s">
        <v>43</v>
      </c>
      <c r="C36" t="s">
        <v>51</v>
      </c>
      <c r="D36" t="s">
        <v>24</v>
      </c>
      <c r="E36" t="s">
        <v>20</v>
      </c>
      <c r="F36" t="s">
        <v>21</v>
      </c>
      <c r="G36">
        <v>300</v>
      </c>
      <c r="H36" t="s">
        <v>18</v>
      </c>
      <c r="I36">
        <v>0</v>
      </c>
      <c r="J36">
        <v>3000</v>
      </c>
      <c r="K36">
        <v>2700</v>
      </c>
      <c r="L36" t="s">
        <v>25</v>
      </c>
    </row>
    <row r="37" spans="1:12" x14ac:dyDescent="0.3">
      <c r="A37" s="1">
        <v>45694</v>
      </c>
      <c r="B37" t="s">
        <v>43</v>
      </c>
      <c r="C37" t="s">
        <v>51</v>
      </c>
      <c r="D37" t="s">
        <v>26</v>
      </c>
      <c r="E37" t="s">
        <v>20</v>
      </c>
      <c r="F37" t="s">
        <v>27</v>
      </c>
      <c r="G37">
        <v>2500</v>
      </c>
      <c r="H37" t="s">
        <v>18</v>
      </c>
      <c r="I37">
        <v>0</v>
      </c>
      <c r="J37">
        <v>5000</v>
      </c>
      <c r="K37">
        <v>2500</v>
      </c>
      <c r="L37" t="s">
        <v>28</v>
      </c>
    </row>
    <row r="38" spans="1:12" x14ac:dyDescent="0.3">
      <c r="A38" s="1">
        <v>45695</v>
      </c>
      <c r="B38" t="s">
        <v>43</v>
      </c>
      <c r="C38" t="s">
        <v>51</v>
      </c>
      <c r="D38" t="s">
        <v>29</v>
      </c>
      <c r="E38" t="s">
        <v>14</v>
      </c>
      <c r="F38" t="s">
        <v>15</v>
      </c>
      <c r="G38">
        <v>1400</v>
      </c>
      <c r="H38" t="s">
        <v>18</v>
      </c>
      <c r="I38">
        <v>0</v>
      </c>
      <c r="J38">
        <v>2000</v>
      </c>
      <c r="K38">
        <v>600</v>
      </c>
      <c r="L38" t="s">
        <v>30</v>
      </c>
    </row>
    <row r="39" spans="1:12" x14ac:dyDescent="0.3">
      <c r="A39" s="1">
        <v>45696</v>
      </c>
      <c r="B39" t="s">
        <v>43</v>
      </c>
      <c r="C39" t="s">
        <v>51</v>
      </c>
      <c r="D39" t="s">
        <v>19</v>
      </c>
      <c r="E39" t="s">
        <v>20</v>
      </c>
      <c r="F39" t="s">
        <v>21</v>
      </c>
      <c r="G39">
        <v>650</v>
      </c>
      <c r="H39" t="s">
        <v>18</v>
      </c>
      <c r="I39">
        <v>0</v>
      </c>
      <c r="J39">
        <v>8000</v>
      </c>
      <c r="K39">
        <v>6750</v>
      </c>
      <c r="L39" t="s">
        <v>31</v>
      </c>
    </row>
    <row r="40" spans="1:12" x14ac:dyDescent="0.3">
      <c r="A40" s="1">
        <v>45697</v>
      </c>
      <c r="B40" t="s">
        <v>43</v>
      </c>
      <c r="C40" t="s">
        <v>51</v>
      </c>
      <c r="D40" t="s">
        <v>32</v>
      </c>
      <c r="E40" t="s">
        <v>14</v>
      </c>
      <c r="F40" t="s">
        <v>15</v>
      </c>
      <c r="G40">
        <v>5000</v>
      </c>
      <c r="H40" t="s">
        <v>18</v>
      </c>
      <c r="I40">
        <v>0</v>
      </c>
      <c r="J40">
        <v>5000</v>
      </c>
      <c r="K40">
        <v>0</v>
      </c>
      <c r="L40" t="s">
        <v>33</v>
      </c>
    </row>
    <row r="41" spans="1:12" x14ac:dyDescent="0.3">
      <c r="A41" s="1">
        <v>45698</v>
      </c>
      <c r="B41" t="s">
        <v>43</v>
      </c>
      <c r="C41" t="s">
        <v>51</v>
      </c>
      <c r="D41" t="s">
        <v>24</v>
      </c>
      <c r="E41" t="s">
        <v>20</v>
      </c>
      <c r="F41" t="s">
        <v>21</v>
      </c>
      <c r="G41">
        <v>400</v>
      </c>
      <c r="H41" t="s">
        <v>18</v>
      </c>
      <c r="I41">
        <v>0</v>
      </c>
      <c r="J41">
        <v>3000</v>
      </c>
      <c r="K41">
        <v>2300</v>
      </c>
      <c r="L41" t="s">
        <v>34</v>
      </c>
    </row>
    <row r="42" spans="1:12" x14ac:dyDescent="0.3">
      <c r="A42" s="1">
        <v>45699</v>
      </c>
      <c r="B42" t="s">
        <v>43</v>
      </c>
      <c r="C42" t="s">
        <v>51</v>
      </c>
      <c r="D42" t="s">
        <v>19</v>
      </c>
      <c r="E42" t="s">
        <v>20</v>
      </c>
      <c r="F42" t="s">
        <v>21</v>
      </c>
      <c r="G42">
        <v>700</v>
      </c>
      <c r="H42" t="s">
        <v>18</v>
      </c>
      <c r="I42">
        <v>0</v>
      </c>
      <c r="J42">
        <v>8000</v>
      </c>
      <c r="K42">
        <v>6050</v>
      </c>
      <c r="L42" t="s">
        <v>35</v>
      </c>
    </row>
    <row r="43" spans="1:12" x14ac:dyDescent="0.3">
      <c r="A43" s="1">
        <v>45700</v>
      </c>
      <c r="B43" t="s">
        <v>43</v>
      </c>
      <c r="C43" t="s">
        <v>51</v>
      </c>
      <c r="D43" t="s">
        <v>26</v>
      </c>
      <c r="E43" t="s">
        <v>20</v>
      </c>
      <c r="F43" t="s">
        <v>27</v>
      </c>
      <c r="G43">
        <v>1800</v>
      </c>
      <c r="H43" t="s">
        <v>18</v>
      </c>
      <c r="I43">
        <v>0</v>
      </c>
      <c r="J43">
        <v>5000</v>
      </c>
      <c r="K43">
        <v>3200</v>
      </c>
      <c r="L43" t="s">
        <v>36</v>
      </c>
    </row>
    <row r="44" spans="1:12" x14ac:dyDescent="0.3">
      <c r="A44" s="1">
        <v>45701</v>
      </c>
      <c r="B44" t="s">
        <v>43</v>
      </c>
      <c r="C44" t="s">
        <v>51</v>
      </c>
      <c r="D44" t="s">
        <v>29</v>
      </c>
      <c r="E44" t="s">
        <v>14</v>
      </c>
      <c r="F44" t="s">
        <v>15</v>
      </c>
      <c r="G44">
        <v>1200</v>
      </c>
      <c r="H44" t="s">
        <v>18</v>
      </c>
      <c r="I44">
        <v>0</v>
      </c>
      <c r="J44">
        <v>2000</v>
      </c>
      <c r="K44">
        <v>800</v>
      </c>
      <c r="L44" t="s">
        <v>37</v>
      </c>
    </row>
    <row r="45" spans="1:12" x14ac:dyDescent="0.3">
      <c r="A45" s="1">
        <v>45702</v>
      </c>
      <c r="B45" t="s">
        <v>43</v>
      </c>
      <c r="C45" t="s">
        <v>51</v>
      </c>
      <c r="D45" t="s">
        <v>19</v>
      </c>
      <c r="E45" t="s">
        <v>20</v>
      </c>
      <c r="F45" t="s">
        <v>21</v>
      </c>
      <c r="G45">
        <v>500</v>
      </c>
      <c r="H45" t="s">
        <v>18</v>
      </c>
      <c r="I45">
        <v>0</v>
      </c>
      <c r="J45">
        <v>8000</v>
      </c>
      <c r="K45">
        <v>5550</v>
      </c>
      <c r="L45" t="s">
        <v>38</v>
      </c>
    </row>
    <row r="46" spans="1:12" x14ac:dyDescent="0.3">
      <c r="A46" s="1">
        <v>45703</v>
      </c>
      <c r="B46" t="s">
        <v>43</v>
      </c>
      <c r="C46" t="s">
        <v>51</v>
      </c>
      <c r="D46" t="s">
        <v>24</v>
      </c>
      <c r="E46" t="s">
        <v>20</v>
      </c>
      <c r="F46" t="s">
        <v>21</v>
      </c>
      <c r="G46">
        <v>350</v>
      </c>
      <c r="H46" t="s">
        <v>18</v>
      </c>
      <c r="I46">
        <v>0</v>
      </c>
      <c r="J46">
        <v>3000</v>
      </c>
      <c r="K46">
        <v>1950</v>
      </c>
      <c r="L46" t="s">
        <v>25</v>
      </c>
    </row>
    <row r="47" spans="1:12" x14ac:dyDescent="0.3">
      <c r="A47" s="1">
        <v>45704</v>
      </c>
      <c r="B47" t="s">
        <v>43</v>
      </c>
      <c r="C47" t="s">
        <v>23</v>
      </c>
      <c r="D47" t="s">
        <v>23</v>
      </c>
      <c r="E47" t="s">
        <v>20</v>
      </c>
      <c r="F47" t="s">
        <v>21</v>
      </c>
      <c r="G47">
        <v>5000</v>
      </c>
      <c r="H47" t="s">
        <v>16</v>
      </c>
      <c r="I47">
        <v>5000</v>
      </c>
      <c r="J47">
        <v>0</v>
      </c>
      <c r="K47">
        <v>0</v>
      </c>
      <c r="L47" t="s">
        <v>50</v>
      </c>
    </row>
    <row r="48" spans="1:12" x14ac:dyDescent="0.3">
      <c r="A48" s="1">
        <v>45705</v>
      </c>
      <c r="B48" t="s">
        <v>43</v>
      </c>
      <c r="C48" t="s">
        <v>51</v>
      </c>
      <c r="D48" t="s">
        <v>26</v>
      </c>
      <c r="E48" t="s">
        <v>20</v>
      </c>
      <c r="F48" t="s">
        <v>27</v>
      </c>
      <c r="G48">
        <v>2000</v>
      </c>
      <c r="H48" t="s">
        <v>18</v>
      </c>
      <c r="I48">
        <v>0</v>
      </c>
      <c r="J48">
        <v>5000</v>
      </c>
      <c r="K48">
        <v>3000</v>
      </c>
      <c r="L48" t="s">
        <v>39</v>
      </c>
    </row>
    <row r="49" spans="1:12" x14ac:dyDescent="0.3">
      <c r="A49" s="1">
        <v>45706</v>
      </c>
      <c r="B49" t="s">
        <v>43</v>
      </c>
      <c r="C49" t="s">
        <v>51</v>
      </c>
      <c r="D49" t="s">
        <v>19</v>
      </c>
      <c r="E49" t="s">
        <v>20</v>
      </c>
      <c r="F49" t="s">
        <v>21</v>
      </c>
      <c r="G49">
        <v>650</v>
      </c>
      <c r="H49" t="s">
        <v>18</v>
      </c>
      <c r="I49">
        <v>0</v>
      </c>
      <c r="J49">
        <v>8000</v>
      </c>
      <c r="K49">
        <v>4900</v>
      </c>
      <c r="L49" t="s">
        <v>22</v>
      </c>
    </row>
    <row r="50" spans="1:12" x14ac:dyDescent="0.3">
      <c r="A50" s="1">
        <v>45707</v>
      </c>
      <c r="B50" t="s">
        <v>43</v>
      </c>
      <c r="C50" t="s">
        <v>51</v>
      </c>
      <c r="D50" t="s">
        <v>24</v>
      </c>
      <c r="E50" t="s">
        <v>20</v>
      </c>
      <c r="F50" t="s">
        <v>21</v>
      </c>
      <c r="G50">
        <v>300</v>
      </c>
      <c r="H50" t="s">
        <v>18</v>
      </c>
      <c r="I50">
        <v>0</v>
      </c>
      <c r="J50">
        <v>3000</v>
      </c>
      <c r="K50">
        <v>1650</v>
      </c>
      <c r="L50" t="s">
        <v>40</v>
      </c>
    </row>
    <row r="51" spans="1:12" x14ac:dyDescent="0.3">
      <c r="A51" s="1">
        <v>45708</v>
      </c>
      <c r="B51" t="s">
        <v>43</v>
      </c>
      <c r="C51" t="s">
        <v>51</v>
      </c>
      <c r="D51" t="s">
        <v>29</v>
      </c>
      <c r="E51" t="s">
        <v>14</v>
      </c>
      <c r="F51" t="s">
        <v>15</v>
      </c>
      <c r="G51">
        <v>900</v>
      </c>
      <c r="H51" t="s">
        <v>18</v>
      </c>
      <c r="I51">
        <v>0</v>
      </c>
      <c r="J51">
        <v>2000</v>
      </c>
      <c r="K51">
        <v>1100</v>
      </c>
      <c r="L51" t="s">
        <v>41</v>
      </c>
    </row>
    <row r="52" spans="1:12" x14ac:dyDescent="0.3">
      <c r="A52" s="1"/>
    </row>
    <row r="53" spans="1:12" x14ac:dyDescent="0.3">
      <c r="A53" s="1"/>
    </row>
    <row r="54" spans="1:12" x14ac:dyDescent="0.3">
      <c r="A54" s="1"/>
    </row>
    <row r="55" spans="1:12" x14ac:dyDescent="0.3">
      <c r="A55" s="1"/>
    </row>
    <row r="56" spans="1:12" x14ac:dyDescent="0.3">
      <c r="A56" s="1"/>
    </row>
    <row r="57" spans="1:12" x14ac:dyDescent="0.3">
      <c r="A57" s="1"/>
    </row>
    <row r="58" spans="1:12" x14ac:dyDescent="0.3">
      <c r="A58" s="1"/>
    </row>
    <row r="59" spans="1:12" x14ac:dyDescent="0.3">
      <c r="A5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8C76-B116-429E-A08E-3F10571C4363}">
  <dimension ref="A1:L51"/>
  <sheetViews>
    <sheetView workbookViewId="0">
      <selection activeCell="E25" sqref="E25"/>
    </sheetView>
  </sheetViews>
  <sheetFormatPr defaultRowHeight="14.4" x14ac:dyDescent="0.3"/>
  <cols>
    <col min="1" max="1" width="10.33203125" bestFit="1" customWidth="1"/>
    <col min="2" max="2" width="8.109375" customWidth="1"/>
    <col min="3" max="3" width="15.21875" customWidth="1"/>
    <col min="4" max="4" width="17.44140625" customWidth="1"/>
    <col min="5" max="5" width="14" customWidth="1"/>
    <col min="6" max="6" width="15.109375" customWidth="1"/>
    <col min="7" max="7" width="9.33203125" customWidth="1"/>
    <col min="8" max="8" width="10.44140625" customWidth="1"/>
    <col min="9" max="9" width="9.21875" customWidth="1"/>
    <col min="10" max="10" width="17" customWidth="1"/>
    <col min="11" max="11" width="17.77734375" customWidth="1"/>
    <col min="12" max="12" width="12.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v>45658</v>
      </c>
      <c r="B2" t="s">
        <v>12</v>
      </c>
      <c r="C2" t="s">
        <v>13</v>
      </c>
      <c r="D2" t="s">
        <v>13</v>
      </c>
      <c r="E2" t="s">
        <v>14</v>
      </c>
      <c r="F2" t="s">
        <v>15</v>
      </c>
      <c r="G2">
        <v>50000</v>
      </c>
      <c r="H2" t="s">
        <v>16</v>
      </c>
      <c r="I2">
        <v>50000</v>
      </c>
      <c r="J2">
        <v>0</v>
      </c>
      <c r="K2">
        <v>0</v>
      </c>
      <c r="L2" t="s">
        <v>45</v>
      </c>
    </row>
    <row r="3" spans="1:12" x14ac:dyDescent="0.3">
      <c r="A3" s="1">
        <v>45659</v>
      </c>
      <c r="B3" t="s">
        <v>12</v>
      </c>
      <c r="C3" t="s">
        <v>51</v>
      </c>
      <c r="D3" t="s">
        <v>17</v>
      </c>
      <c r="E3" t="s">
        <v>14</v>
      </c>
      <c r="F3" t="s">
        <v>15</v>
      </c>
      <c r="G3">
        <v>15000</v>
      </c>
      <c r="H3" t="s">
        <v>18</v>
      </c>
      <c r="I3">
        <v>0</v>
      </c>
      <c r="J3">
        <v>15000</v>
      </c>
      <c r="K3">
        <v>0</v>
      </c>
      <c r="L3" t="s">
        <v>46</v>
      </c>
    </row>
    <row r="4" spans="1:12" x14ac:dyDescent="0.3">
      <c r="A4" s="1">
        <v>45660</v>
      </c>
      <c r="B4" t="s">
        <v>12</v>
      </c>
      <c r="C4" t="s">
        <v>51</v>
      </c>
      <c r="D4" t="s">
        <v>19</v>
      </c>
      <c r="E4" t="s">
        <v>20</v>
      </c>
      <c r="F4" t="s">
        <v>21</v>
      </c>
      <c r="G4">
        <v>500</v>
      </c>
      <c r="H4" t="s">
        <v>18</v>
      </c>
      <c r="I4">
        <v>0</v>
      </c>
      <c r="J4">
        <v>8000</v>
      </c>
      <c r="K4">
        <v>7500</v>
      </c>
      <c r="L4" t="s">
        <v>22</v>
      </c>
    </row>
    <row r="5" spans="1:12" x14ac:dyDescent="0.3">
      <c r="A5" s="1">
        <v>45661</v>
      </c>
      <c r="B5" t="s">
        <v>12</v>
      </c>
      <c r="C5" t="s">
        <v>23</v>
      </c>
      <c r="D5" t="s">
        <v>23</v>
      </c>
      <c r="E5" t="s">
        <v>20</v>
      </c>
      <c r="F5" t="s">
        <v>21</v>
      </c>
      <c r="G5">
        <v>8000</v>
      </c>
      <c r="H5" t="s">
        <v>16</v>
      </c>
      <c r="I5">
        <v>8000</v>
      </c>
      <c r="J5">
        <v>0</v>
      </c>
      <c r="K5">
        <v>0</v>
      </c>
      <c r="L5" t="s">
        <v>47</v>
      </c>
    </row>
    <row r="6" spans="1:12" x14ac:dyDescent="0.3">
      <c r="A6" s="1">
        <v>45662</v>
      </c>
      <c r="B6" t="s">
        <v>12</v>
      </c>
      <c r="C6" t="s">
        <v>51</v>
      </c>
      <c r="D6" t="s">
        <v>24</v>
      </c>
      <c r="E6" t="s">
        <v>20</v>
      </c>
      <c r="F6" t="s">
        <v>21</v>
      </c>
      <c r="G6">
        <v>300</v>
      </c>
      <c r="H6" t="s">
        <v>18</v>
      </c>
      <c r="I6">
        <v>0</v>
      </c>
      <c r="J6">
        <v>3000</v>
      </c>
      <c r="K6">
        <v>2700</v>
      </c>
      <c r="L6" t="s">
        <v>25</v>
      </c>
    </row>
    <row r="7" spans="1:12" x14ac:dyDescent="0.3">
      <c r="A7" s="1">
        <v>45663</v>
      </c>
      <c r="B7" t="s">
        <v>12</v>
      </c>
      <c r="C7" t="s">
        <v>51</v>
      </c>
      <c r="D7" t="s">
        <v>26</v>
      </c>
      <c r="E7" t="s">
        <v>20</v>
      </c>
      <c r="F7" t="s">
        <v>27</v>
      </c>
      <c r="G7">
        <v>2000</v>
      </c>
      <c r="H7" t="s">
        <v>18</v>
      </c>
      <c r="I7">
        <v>0</v>
      </c>
      <c r="J7">
        <v>5000</v>
      </c>
      <c r="K7">
        <v>3000</v>
      </c>
      <c r="L7" t="s">
        <v>28</v>
      </c>
    </row>
    <row r="8" spans="1:12" x14ac:dyDescent="0.3">
      <c r="A8" s="1">
        <v>45664</v>
      </c>
      <c r="B8" t="s">
        <v>12</v>
      </c>
      <c r="C8" t="s">
        <v>51</v>
      </c>
      <c r="D8" t="s">
        <v>29</v>
      </c>
      <c r="E8" t="s">
        <v>14</v>
      </c>
      <c r="F8" t="s">
        <v>15</v>
      </c>
      <c r="G8">
        <v>1500</v>
      </c>
      <c r="H8" t="s">
        <v>18</v>
      </c>
      <c r="I8">
        <v>0</v>
      </c>
      <c r="J8">
        <v>2000</v>
      </c>
      <c r="K8">
        <v>500</v>
      </c>
      <c r="L8" t="s">
        <v>30</v>
      </c>
    </row>
    <row r="9" spans="1:12" x14ac:dyDescent="0.3">
      <c r="A9" s="1">
        <v>45665</v>
      </c>
      <c r="B9" t="s">
        <v>12</v>
      </c>
      <c r="C9" t="s">
        <v>51</v>
      </c>
      <c r="D9" t="s">
        <v>19</v>
      </c>
      <c r="E9" t="s">
        <v>20</v>
      </c>
      <c r="F9" t="s">
        <v>21</v>
      </c>
      <c r="G9">
        <v>600</v>
      </c>
      <c r="H9" t="s">
        <v>18</v>
      </c>
      <c r="I9">
        <v>0</v>
      </c>
      <c r="J9">
        <v>8000</v>
      </c>
      <c r="K9">
        <v>6900</v>
      </c>
      <c r="L9" t="s">
        <v>31</v>
      </c>
    </row>
    <row r="10" spans="1:12" x14ac:dyDescent="0.3">
      <c r="A10" s="1">
        <v>45666</v>
      </c>
      <c r="B10" t="s">
        <v>12</v>
      </c>
      <c r="C10" t="s">
        <v>51</v>
      </c>
      <c r="D10" t="s">
        <v>32</v>
      </c>
      <c r="E10" t="s">
        <v>14</v>
      </c>
      <c r="F10" t="s">
        <v>15</v>
      </c>
      <c r="G10">
        <v>5000</v>
      </c>
      <c r="H10" t="s">
        <v>18</v>
      </c>
      <c r="I10">
        <v>0</v>
      </c>
      <c r="J10">
        <v>5000</v>
      </c>
      <c r="K10">
        <v>0</v>
      </c>
      <c r="L10" t="s">
        <v>48</v>
      </c>
    </row>
    <row r="11" spans="1:12" x14ac:dyDescent="0.3">
      <c r="A11" s="1">
        <v>45667</v>
      </c>
      <c r="B11" t="s">
        <v>12</v>
      </c>
      <c r="C11" t="s">
        <v>51</v>
      </c>
      <c r="D11" t="s">
        <v>24</v>
      </c>
      <c r="E11" t="s">
        <v>20</v>
      </c>
      <c r="F11" t="s">
        <v>21</v>
      </c>
      <c r="G11">
        <v>400</v>
      </c>
      <c r="H11" t="s">
        <v>18</v>
      </c>
      <c r="I11">
        <v>0</v>
      </c>
      <c r="J11">
        <v>3000</v>
      </c>
      <c r="K11">
        <v>2600</v>
      </c>
      <c r="L11" t="s">
        <v>34</v>
      </c>
    </row>
    <row r="12" spans="1:12" x14ac:dyDescent="0.3">
      <c r="A12" s="1">
        <v>45668</v>
      </c>
      <c r="B12" t="s">
        <v>12</v>
      </c>
      <c r="C12" t="s">
        <v>51</v>
      </c>
      <c r="D12" t="s">
        <v>19</v>
      </c>
      <c r="E12" t="s">
        <v>20</v>
      </c>
      <c r="F12" t="s">
        <v>21</v>
      </c>
      <c r="G12">
        <v>700</v>
      </c>
      <c r="H12" t="s">
        <v>18</v>
      </c>
      <c r="I12">
        <v>0</v>
      </c>
      <c r="J12">
        <v>8000</v>
      </c>
      <c r="K12">
        <v>6200</v>
      </c>
      <c r="L12" t="s">
        <v>35</v>
      </c>
    </row>
    <row r="13" spans="1:12" x14ac:dyDescent="0.3">
      <c r="A13" s="1">
        <v>45669</v>
      </c>
      <c r="B13" t="s">
        <v>12</v>
      </c>
      <c r="C13" t="s">
        <v>51</v>
      </c>
      <c r="D13" t="s">
        <v>26</v>
      </c>
      <c r="E13" t="s">
        <v>20</v>
      </c>
      <c r="F13" t="s">
        <v>27</v>
      </c>
      <c r="G13">
        <v>1500</v>
      </c>
      <c r="H13" t="s">
        <v>18</v>
      </c>
      <c r="I13">
        <v>0</v>
      </c>
      <c r="J13">
        <v>5000</v>
      </c>
      <c r="K13">
        <v>3500</v>
      </c>
      <c r="L13" t="s">
        <v>36</v>
      </c>
    </row>
    <row r="14" spans="1:12" x14ac:dyDescent="0.3">
      <c r="A14" s="1">
        <v>45670</v>
      </c>
      <c r="B14" t="s">
        <v>12</v>
      </c>
      <c r="C14" t="s">
        <v>51</v>
      </c>
      <c r="D14" t="s">
        <v>29</v>
      </c>
      <c r="E14" t="s">
        <v>14</v>
      </c>
      <c r="F14" t="s">
        <v>15</v>
      </c>
      <c r="G14">
        <v>1200</v>
      </c>
      <c r="H14" t="s">
        <v>18</v>
      </c>
      <c r="I14">
        <v>0</v>
      </c>
      <c r="J14">
        <v>2000</v>
      </c>
      <c r="K14">
        <v>800</v>
      </c>
      <c r="L14" t="s">
        <v>37</v>
      </c>
    </row>
    <row r="15" spans="1:12" x14ac:dyDescent="0.3">
      <c r="A15" s="1">
        <v>45671</v>
      </c>
      <c r="B15" t="s">
        <v>12</v>
      </c>
      <c r="C15" t="s">
        <v>51</v>
      </c>
      <c r="D15" t="s">
        <v>19</v>
      </c>
      <c r="E15" t="s">
        <v>20</v>
      </c>
      <c r="F15" t="s">
        <v>21</v>
      </c>
      <c r="G15">
        <v>450</v>
      </c>
      <c r="H15" t="s">
        <v>18</v>
      </c>
      <c r="I15">
        <v>0</v>
      </c>
      <c r="J15">
        <v>8000</v>
      </c>
      <c r="K15">
        <v>5750</v>
      </c>
      <c r="L15" t="s">
        <v>38</v>
      </c>
    </row>
    <row r="16" spans="1:12" x14ac:dyDescent="0.3">
      <c r="A16" s="1">
        <v>45672</v>
      </c>
      <c r="B16" t="s">
        <v>12</v>
      </c>
      <c r="C16" t="s">
        <v>51</v>
      </c>
      <c r="D16" t="s">
        <v>24</v>
      </c>
      <c r="E16" t="s">
        <v>20</v>
      </c>
      <c r="F16" t="s">
        <v>21</v>
      </c>
      <c r="G16">
        <v>350</v>
      </c>
      <c r="H16" t="s">
        <v>18</v>
      </c>
      <c r="I16">
        <v>0</v>
      </c>
      <c r="J16">
        <v>3000</v>
      </c>
      <c r="K16">
        <v>2250</v>
      </c>
      <c r="L16" t="s">
        <v>25</v>
      </c>
    </row>
    <row r="17" spans="1:12" x14ac:dyDescent="0.3">
      <c r="A17" s="1">
        <v>45673</v>
      </c>
      <c r="B17" t="s">
        <v>12</v>
      </c>
      <c r="C17" t="s">
        <v>23</v>
      </c>
      <c r="D17" t="s">
        <v>23</v>
      </c>
      <c r="E17" t="s">
        <v>20</v>
      </c>
      <c r="F17" t="s">
        <v>21</v>
      </c>
      <c r="G17">
        <v>6000</v>
      </c>
      <c r="H17" t="s">
        <v>16</v>
      </c>
      <c r="I17">
        <v>6000</v>
      </c>
      <c r="J17">
        <v>0</v>
      </c>
      <c r="K17">
        <v>0</v>
      </c>
      <c r="L17" t="s">
        <v>49</v>
      </c>
    </row>
    <row r="18" spans="1:12" x14ac:dyDescent="0.3">
      <c r="A18" s="1">
        <v>45674</v>
      </c>
      <c r="B18" t="s">
        <v>12</v>
      </c>
      <c r="C18" t="s">
        <v>51</v>
      </c>
      <c r="D18" t="s">
        <v>26</v>
      </c>
      <c r="E18" t="s">
        <v>20</v>
      </c>
      <c r="F18" t="s">
        <v>27</v>
      </c>
      <c r="G18">
        <v>2200</v>
      </c>
      <c r="H18" t="s">
        <v>18</v>
      </c>
      <c r="I18">
        <v>0</v>
      </c>
      <c r="J18">
        <v>5000</v>
      </c>
      <c r="K18">
        <v>2800</v>
      </c>
      <c r="L18" t="s">
        <v>39</v>
      </c>
    </row>
    <row r="19" spans="1:12" x14ac:dyDescent="0.3">
      <c r="A19" s="1">
        <v>45675</v>
      </c>
      <c r="B19" t="s">
        <v>12</v>
      </c>
      <c r="C19" t="s">
        <v>51</v>
      </c>
      <c r="D19" t="s">
        <v>19</v>
      </c>
      <c r="E19" t="s">
        <v>20</v>
      </c>
      <c r="F19" t="s">
        <v>21</v>
      </c>
      <c r="G19">
        <v>650</v>
      </c>
      <c r="H19" t="s">
        <v>18</v>
      </c>
      <c r="I19">
        <v>0</v>
      </c>
      <c r="J19">
        <v>8000</v>
      </c>
      <c r="K19">
        <v>5100</v>
      </c>
      <c r="L19" t="s">
        <v>22</v>
      </c>
    </row>
    <row r="20" spans="1:12" x14ac:dyDescent="0.3">
      <c r="A20" s="1">
        <v>45676</v>
      </c>
      <c r="B20" t="s">
        <v>12</v>
      </c>
      <c r="C20" t="s">
        <v>51</v>
      </c>
      <c r="D20" t="s">
        <v>24</v>
      </c>
      <c r="E20" t="s">
        <v>20</v>
      </c>
      <c r="F20" t="s">
        <v>21</v>
      </c>
      <c r="G20">
        <v>300</v>
      </c>
      <c r="H20" t="s">
        <v>18</v>
      </c>
      <c r="I20">
        <v>0</v>
      </c>
      <c r="J20">
        <v>3000</v>
      </c>
      <c r="K20">
        <v>1950</v>
      </c>
      <c r="L20" t="s">
        <v>40</v>
      </c>
    </row>
    <row r="21" spans="1:12" x14ac:dyDescent="0.3">
      <c r="A21" s="1">
        <v>45677</v>
      </c>
      <c r="B21" t="s">
        <v>12</v>
      </c>
      <c r="C21" t="s">
        <v>51</v>
      </c>
      <c r="D21" t="s">
        <v>29</v>
      </c>
      <c r="E21" t="s">
        <v>14</v>
      </c>
      <c r="F21" t="s">
        <v>15</v>
      </c>
      <c r="G21">
        <v>800</v>
      </c>
      <c r="H21" t="s">
        <v>18</v>
      </c>
      <c r="I21">
        <v>0</v>
      </c>
      <c r="J21">
        <v>2000</v>
      </c>
      <c r="K21">
        <v>1200</v>
      </c>
      <c r="L21" t="s">
        <v>41</v>
      </c>
    </row>
    <row r="22" spans="1:12" x14ac:dyDescent="0.3">
      <c r="A22" s="1">
        <v>45678</v>
      </c>
      <c r="B22" t="s">
        <v>12</v>
      </c>
      <c r="C22" t="s">
        <v>51</v>
      </c>
      <c r="D22" t="s">
        <v>19</v>
      </c>
      <c r="E22" t="s">
        <v>20</v>
      </c>
      <c r="F22" t="s">
        <v>21</v>
      </c>
      <c r="G22">
        <v>550</v>
      </c>
      <c r="H22" t="s">
        <v>18</v>
      </c>
      <c r="I22">
        <v>0</v>
      </c>
      <c r="J22">
        <v>8000</v>
      </c>
      <c r="K22">
        <v>4550</v>
      </c>
      <c r="L22" t="s">
        <v>31</v>
      </c>
    </row>
    <row r="23" spans="1:12" x14ac:dyDescent="0.3">
      <c r="A23" s="1">
        <v>45679</v>
      </c>
      <c r="B23" t="s">
        <v>12</v>
      </c>
      <c r="C23" t="s">
        <v>51</v>
      </c>
      <c r="D23" t="s">
        <v>26</v>
      </c>
      <c r="E23" t="s">
        <v>20</v>
      </c>
      <c r="F23" t="s">
        <v>27</v>
      </c>
      <c r="G23">
        <v>1800</v>
      </c>
      <c r="H23" t="s">
        <v>18</v>
      </c>
      <c r="I23">
        <v>0</v>
      </c>
      <c r="J23">
        <v>5000</v>
      </c>
      <c r="K23">
        <v>3200</v>
      </c>
      <c r="L23" t="s">
        <v>36</v>
      </c>
    </row>
    <row r="24" spans="1:12" x14ac:dyDescent="0.3">
      <c r="A24" s="1">
        <v>45680</v>
      </c>
      <c r="B24" t="s">
        <v>12</v>
      </c>
      <c r="C24" t="s">
        <v>51</v>
      </c>
      <c r="D24" t="s">
        <v>24</v>
      </c>
      <c r="E24" t="s">
        <v>20</v>
      </c>
      <c r="F24" t="s">
        <v>21</v>
      </c>
      <c r="G24">
        <v>250</v>
      </c>
      <c r="H24" t="s">
        <v>18</v>
      </c>
      <c r="I24">
        <v>0</v>
      </c>
      <c r="J24">
        <v>3000</v>
      </c>
      <c r="K24">
        <v>1700</v>
      </c>
      <c r="L24" t="s">
        <v>25</v>
      </c>
    </row>
    <row r="25" spans="1:12" x14ac:dyDescent="0.3">
      <c r="A25" s="1">
        <v>45681</v>
      </c>
      <c r="B25" t="s">
        <v>12</v>
      </c>
      <c r="C25" t="s">
        <v>51</v>
      </c>
      <c r="D25" t="s">
        <v>19</v>
      </c>
      <c r="E25" t="s">
        <v>20</v>
      </c>
      <c r="F25" t="s">
        <v>21</v>
      </c>
      <c r="G25">
        <v>700</v>
      </c>
      <c r="H25" t="s">
        <v>18</v>
      </c>
      <c r="I25">
        <v>0</v>
      </c>
      <c r="J25">
        <v>8000</v>
      </c>
      <c r="K25">
        <v>3850</v>
      </c>
      <c r="L25" t="s">
        <v>35</v>
      </c>
    </row>
    <row r="26" spans="1:12" x14ac:dyDescent="0.3">
      <c r="A26" s="1">
        <v>45682</v>
      </c>
      <c r="B26" t="s">
        <v>12</v>
      </c>
      <c r="C26" t="s">
        <v>51</v>
      </c>
      <c r="D26" t="s">
        <v>29</v>
      </c>
      <c r="E26" t="s">
        <v>14</v>
      </c>
      <c r="F26" t="s">
        <v>15</v>
      </c>
      <c r="G26">
        <v>1000</v>
      </c>
      <c r="H26" t="s">
        <v>18</v>
      </c>
      <c r="I26">
        <v>0</v>
      </c>
      <c r="J26">
        <v>2000</v>
      </c>
      <c r="K26">
        <v>1000</v>
      </c>
      <c r="L26" t="s">
        <v>42</v>
      </c>
    </row>
    <row r="27" spans="1:12" x14ac:dyDescent="0.3">
      <c r="A27" s="1">
        <v>45683</v>
      </c>
      <c r="B27" t="s">
        <v>12</v>
      </c>
      <c r="C27" t="s">
        <v>51</v>
      </c>
      <c r="D27" t="s">
        <v>26</v>
      </c>
      <c r="E27" t="s">
        <v>20</v>
      </c>
      <c r="F27" t="s">
        <v>27</v>
      </c>
      <c r="G27">
        <v>1600</v>
      </c>
      <c r="H27" t="s">
        <v>18</v>
      </c>
      <c r="I27">
        <v>0</v>
      </c>
      <c r="J27">
        <v>5000</v>
      </c>
      <c r="K27">
        <v>3400</v>
      </c>
      <c r="L27" t="s">
        <v>28</v>
      </c>
    </row>
    <row r="28" spans="1:12" x14ac:dyDescent="0.3">
      <c r="A28" s="1">
        <v>45684</v>
      </c>
      <c r="B28" t="s">
        <v>12</v>
      </c>
      <c r="C28" t="s">
        <v>51</v>
      </c>
      <c r="D28" t="s">
        <v>24</v>
      </c>
      <c r="E28" t="s">
        <v>20</v>
      </c>
      <c r="F28" t="s">
        <v>21</v>
      </c>
      <c r="G28">
        <v>300</v>
      </c>
      <c r="H28" t="s">
        <v>18</v>
      </c>
      <c r="I28">
        <v>0</v>
      </c>
      <c r="J28">
        <v>3000</v>
      </c>
      <c r="K28">
        <v>1400</v>
      </c>
      <c r="L28" t="s">
        <v>34</v>
      </c>
    </row>
    <row r="29" spans="1:12" x14ac:dyDescent="0.3">
      <c r="A29" s="1">
        <v>45685</v>
      </c>
      <c r="B29" t="s">
        <v>12</v>
      </c>
      <c r="C29" t="s">
        <v>51</v>
      </c>
      <c r="D29" t="s">
        <v>19</v>
      </c>
      <c r="E29" t="s">
        <v>20</v>
      </c>
      <c r="F29" t="s">
        <v>21</v>
      </c>
      <c r="G29">
        <v>600</v>
      </c>
      <c r="H29" t="s">
        <v>18</v>
      </c>
      <c r="I29">
        <v>0</v>
      </c>
      <c r="J29">
        <v>8000</v>
      </c>
      <c r="K29">
        <v>3250</v>
      </c>
      <c r="L29" t="s">
        <v>31</v>
      </c>
    </row>
    <row r="30" spans="1:12" x14ac:dyDescent="0.3">
      <c r="A30" s="1">
        <v>45686</v>
      </c>
      <c r="B30" t="s">
        <v>12</v>
      </c>
      <c r="C30" t="s">
        <v>51</v>
      </c>
      <c r="D30" t="s">
        <v>26</v>
      </c>
      <c r="E30" t="s">
        <v>20</v>
      </c>
      <c r="F30" t="s">
        <v>27</v>
      </c>
      <c r="G30">
        <v>2000</v>
      </c>
      <c r="H30" t="s">
        <v>18</v>
      </c>
      <c r="I30">
        <v>0</v>
      </c>
      <c r="J30">
        <v>5000</v>
      </c>
      <c r="K30">
        <v>3000</v>
      </c>
      <c r="L30" t="s">
        <v>36</v>
      </c>
    </row>
    <row r="31" spans="1:12" x14ac:dyDescent="0.3">
      <c r="A31" s="1">
        <v>45687</v>
      </c>
      <c r="B31" t="s">
        <v>12</v>
      </c>
      <c r="C31" t="s">
        <v>51</v>
      </c>
      <c r="D31" t="s">
        <v>24</v>
      </c>
      <c r="E31" t="s">
        <v>20</v>
      </c>
      <c r="F31" t="s">
        <v>21</v>
      </c>
      <c r="G31">
        <v>350</v>
      </c>
      <c r="H31" t="s">
        <v>18</v>
      </c>
      <c r="I31">
        <v>0</v>
      </c>
      <c r="J31">
        <v>3000</v>
      </c>
      <c r="K31">
        <v>1050</v>
      </c>
      <c r="L31" t="s">
        <v>25</v>
      </c>
    </row>
    <row r="32" spans="1:12" x14ac:dyDescent="0.3">
      <c r="A32" s="1">
        <v>45689</v>
      </c>
      <c r="B32" t="s">
        <v>43</v>
      </c>
      <c r="C32" t="s">
        <v>13</v>
      </c>
      <c r="D32" t="s">
        <v>13</v>
      </c>
      <c r="E32" t="s">
        <v>14</v>
      </c>
      <c r="F32" t="s">
        <v>15</v>
      </c>
      <c r="G32">
        <v>50000</v>
      </c>
      <c r="H32" t="s">
        <v>16</v>
      </c>
      <c r="I32">
        <v>50000</v>
      </c>
      <c r="J32">
        <v>0</v>
      </c>
      <c r="K32">
        <v>0</v>
      </c>
      <c r="L32" t="s">
        <v>45</v>
      </c>
    </row>
    <row r="33" spans="1:12" x14ac:dyDescent="0.3">
      <c r="A33" s="1">
        <v>45690</v>
      </c>
      <c r="B33" t="s">
        <v>43</v>
      </c>
      <c r="C33" t="s">
        <v>51</v>
      </c>
      <c r="D33" t="s">
        <v>17</v>
      </c>
      <c r="E33" t="s">
        <v>14</v>
      </c>
      <c r="F33" t="s">
        <v>15</v>
      </c>
      <c r="G33">
        <v>15000</v>
      </c>
      <c r="H33" t="s">
        <v>18</v>
      </c>
      <c r="I33">
        <v>0</v>
      </c>
      <c r="J33">
        <v>15000</v>
      </c>
      <c r="K33">
        <v>0</v>
      </c>
      <c r="L33" t="s">
        <v>17</v>
      </c>
    </row>
    <row r="34" spans="1:12" x14ac:dyDescent="0.3">
      <c r="A34" s="1">
        <v>45691</v>
      </c>
      <c r="B34" t="s">
        <v>43</v>
      </c>
      <c r="C34" t="s">
        <v>51</v>
      </c>
      <c r="D34" t="s">
        <v>19</v>
      </c>
      <c r="E34" t="s">
        <v>20</v>
      </c>
      <c r="F34" t="s">
        <v>21</v>
      </c>
      <c r="G34">
        <v>600</v>
      </c>
      <c r="H34" t="s">
        <v>18</v>
      </c>
      <c r="I34">
        <v>0</v>
      </c>
      <c r="J34">
        <v>8000</v>
      </c>
      <c r="K34">
        <v>7400</v>
      </c>
      <c r="L34" t="s">
        <v>22</v>
      </c>
    </row>
    <row r="35" spans="1:12" x14ac:dyDescent="0.3">
      <c r="A35" s="1">
        <v>45692</v>
      </c>
      <c r="B35" t="s">
        <v>43</v>
      </c>
      <c r="C35" t="s">
        <v>23</v>
      </c>
      <c r="D35" t="s">
        <v>23</v>
      </c>
      <c r="E35" t="s">
        <v>20</v>
      </c>
      <c r="F35" t="s">
        <v>21</v>
      </c>
      <c r="G35">
        <v>7000</v>
      </c>
      <c r="H35" t="s">
        <v>16</v>
      </c>
      <c r="I35">
        <v>7000</v>
      </c>
      <c r="J35">
        <v>0</v>
      </c>
      <c r="K35">
        <v>0</v>
      </c>
      <c r="L35" t="s">
        <v>44</v>
      </c>
    </row>
    <row r="36" spans="1:12" x14ac:dyDescent="0.3">
      <c r="A36" s="1">
        <v>45693</v>
      </c>
      <c r="B36" t="s">
        <v>43</v>
      </c>
      <c r="C36" t="s">
        <v>51</v>
      </c>
      <c r="D36" t="s">
        <v>24</v>
      </c>
      <c r="E36" t="s">
        <v>20</v>
      </c>
      <c r="F36" t="s">
        <v>21</v>
      </c>
      <c r="G36">
        <v>300</v>
      </c>
      <c r="H36" t="s">
        <v>18</v>
      </c>
      <c r="I36">
        <v>0</v>
      </c>
      <c r="J36">
        <v>3000</v>
      </c>
      <c r="K36">
        <v>2700</v>
      </c>
      <c r="L36" t="s">
        <v>25</v>
      </c>
    </row>
    <row r="37" spans="1:12" x14ac:dyDescent="0.3">
      <c r="A37" s="1">
        <v>45694</v>
      </c>
      <c r="B37" t="s">
        <v>43</v>
      </c>
      <c r="C37" t="s">
        <v>51</v>
      </c>
      <c r="D37" t="s">
        <v>26</v>
      </c>
      <c r="E37" t="s">
        <v>20</v>
      </c>
      <c r="F37" t="s">
        <v>27</v>
      </c>
      <c r="G37">
        <v>2500</v>
      </c>
      <c r="H37" t="s">
        <v>18</v>
      </c>
      <c r="I37">
        <v>0</v>
      </c>
      <c r="J37">
        <v>5000</v>
      </c>
      <c r="K37">
        <v>2500</v>
      </c>
      <c r="L37" t="s">
        <v>28</v>
      </c>
    </row>
    <row r="38" spans="1:12" x14ac:dyDescent="0.3">
      <c r="A38" s="1">
        <v>45695</v>
      </c>
      <c r="B38" t="s">
        <v>43</v>
      </c>
      <c r="C38" t="s">
        <v>51</v>
      </c>
      <c r="D38" t="s">
        <v>29</v>
      </c>
      <c r="E38" t="s">
        <v>14</v>
      </c>
      <c r="F38" t="s">
        <v>15</v>
      </c>
      <c r="G38">
        <v>1400</v>
      </c>
      <c r="H38" t="s">
        <v>18</v>
      </c>
      <c r="I38">
        <v>0</v>
      </c>
      <c r="J38">
        <v>2000</v>
      </c>
      <c r="K38">
        <v>600</v>
      </c>
      <c r="L38" t="s">
        <v>30</v>
      </c>
    </row>
    <row r="39" spans="1:12" x14ac:dyDescent="0.3">
      <c r="A39" s="1">
        <v>45696</v>
      </c>
      <c r="B39" t="s">
        <v>43</v>
      </c>
      <c r="C39" t="s">
        <v>51</v>
      </c>
      <c r="D39" t="s">
        <v>19</v>
      </c>
      <c r="E39" t="s">
        <v>20</v>
      </c>
      <c r="F39" t="s">
        <v>21</v>
      </c>
      <c r="G39">
        <v>650</v>
      </c>
      <c r="H39" t="s">
        <v>18</v>
      </c>
      <c r="I39">
        <v>0</v>
      </c>
      <c r="J39">
        <v>8000</v>
      </c>
      <c r="K39">
        <v>6750</v>
      </c>
      <c r="L39" t="s">
        <v>31</v>
      </c>
    </row>
    <row r="40" spans="1:12" x14ac:dyDescent="0.3">
      <c r="A40" s="1">
        <v>45697</v>
      </c>
      <c r="B40" t="s">
        <v>43</v>
      </c>
      <c r="C40" t="s">
        <v>51</v>
      </c>
      <c r="D40" t="s">
        <v>32</v>
      </c>
      <c r="E40" t="s">
        <v>14</v>
      </c>
      <c r="F40" t="s">
        <v>15</v>
      </c>
      <c r="G40">
        <v>5000</v>
      </c>
      <c r="H40" t="s">
        <v>18</v>
      </c>
      <c r="I40">
        <v>0</v>
      </c>
      <c r="J40">
        <v>5000</v>
      </c>
      <c r="K40">
        <v>0</v>
      </c>
      <c r="L40" t="s">
        <v>33</v>
      </c>
    </row>
    <row r="41" spans="1:12" x14ac:dyDescent="0.3">
      <c r="A41" s="1">
        <v>45698</v>
      </c>
      <c r="B41" t="s">
        <v>43</v>
      </c>
      <c r="C41" t="s">
        <v>51</v>
      </c>
      <c r="D41" t="s">
        <v>24</v>
      </c>
      <c r="E41" t="s">
        <v>20</v>
      </c>
      <c r="F41" t="s">
        <v>21</v>
      </c>
      <c r="G41">
        <v>400</v>
      </c>
      <c r="H41" t="s">
        <v>18</v>
      </c>
      <c r="I41">
        <v>0</v>
      </c>
      <c r="J41">
        <v>3000</v>
      </c>
      <c r="K41">
        <v>2300</v>
      </c>
      <c r="L41" t="s">
        <v>34</v>
      </c>
    </row>
    <row r="42" spans="1:12" x14ac:dyDescent="0.3">
      <c r="A42" s="1">
        <v>45699</v>
      </c>
      <c r="B42" t="s">
        <v>43</v>
      </c>
      <c r="C42" t="s">
        <v>51</v>
      </c>
      <c r="D42" t="s">
        <v>19</v>
      </c>
      <c r="E42" t="s">
        <v>20</v>
      </c>
      <c r="F42" t="s">
        <v>21</v>
      </c>
      <c r="G42">
        <v>700</v>
      </c>
      <c r="H42" t="s">
        <v>18</v>
      </c>
      <c r="I42">
        <v>0</v>
      </c>
      <c r="J42">
        <v>8000</v>
      </c>
      <c r="K42">
        <v>6050</v>
      </c>
      <c r="L42" t="s">
        <v>35</v>
      </c>
    </row>
    <row r="43" spans="1:12" x14ac:dyDescent="0.3">
      <c r="A43" s="1">
        <v>45700</v>
      </c>
      <c r="B43" t="s">
        <v>43</v>
      </c>
      <c r="C43" t="s">
        <v>51</v>
      </c>
      <c r="D43" t="s">
        <v>26</v>
      </c>
      <c r="E43" t="s">
        <v>20</v>
      </c>
      <c r="F43" t="s">
        <v>27</v>
      </c>
      <c r="G43">
        <v>1800</v>
      </c>
      <c r="H43" t="s">
        <v>18</v>
      </c>
      <c r="I43">
        <v>0</v>
      </c>
      <c r="J43">
        <v>5000</v>
      </c>
      <c r="K43">
        <v>3200</v>
      </c>
      <c r="L43" t="s">
        <v>36</v>
      </c>
    </row>
    <row r="44" spans="1:12" x14ac:dyDescent="0.3">
      <c r="A44" s="1">
        <v>45701</v>
      </c>
      <c r="B44" t="s">
        <v>43</v>
      </c>
      <c r="C44" t="s">
        <v>51</v>
      </c>
      <c r="D44" t="s">
        <v>29</v>
      </c>
      <c r="E44" t="s">
        <v>14</v>
      </c>
      <c r="F44" t="s">
        <v>15</v>
      </c>
      <c r="G44">
        <v>1200</v>
      </c>
      <c r="H44" t="s">
        <v>18</v>
      </c>
      <c r="I44">
        <v>0</v>
      </c>
      <c r="J44">
        <v>2000</v>
      </c>
      <c r="K44">
        <v>800</v>
      </c>
      <c r="L44" t="s">
        <v>37</v>
      </c>
    </row>
    <row r="45" spans="1:12" x14ac:dyDescent="0.3">
      <c r="A45" s="1">
        <v>45702</v>
      </c>
      <c r="B45" t="s">
        <v>43</v>
      </c>
      <c r="C45" t="s">
        <v>51</v>
      </c>
      <c r="D45" t="s">
        <v>19</v>
      </c>
      <c r="E45" t="s">
        <v>20</v>
      </c>
      <c r="F45" t="s">
        <v>21</v>
      </c>
      <c r="G45">
        <v>500</v>
      </c>
      <c r="H45" t="s">
        <v>18</v>
      </c>
      <c r="I45">
        <v>0</v>
      </c>
      <c r="J45">
        <v>8000</v>
      </c>
      <c r="K45">
        <v>5550</v>
      </c>
      <c r="L45" t="s">
        <v>38</v>
      </c>
    </row>
    <row r="46" spans="1:12" x14ac:dyDescent="0.3">
      <c r="A46" s="1">
        <v>45703</v>
      </c>
      <c r="B46" t="s">
        <v>43</v>
      </c>
      <c r="C46" t="s">
        <v>51</v>
      </c>
      <c r="D46" t="s">
        <v>24</v>
      </c>
      <c r="E46" t="s">
        <v>20</v>
      </c>
      <c r="F46" t="s">
        <v>21</v>
      </c>
      <c r="G46">
        <v>350</v>
      </c>
      <c r="H46" t="s">
        <v>18</v>
      </c>
      <c r="I46">
        <v>0</v>
      </c>
      <c r="J46">
        <v>3000</v>
      </c>
      <c r="K46">
        <v>1950</v>
      </c>
      <c r="L46" t="s">
        <v>25</v>
      </c>
    </row>
    <row r="47" spans="1:12" x14ac:dyDescent="0.3">
      <c r="A47" s="1">
        <v>45704</v>
      </c>
      <c r="B47" t="s">
        <v>43</v>
      </c>
      <c r="C47" t="s">
        <v>23</v>
      </c>
      <c r="D47" t="s">
        <v>23</v>
      </c>
      <c r="E47" t="s">
        <v>20</v>
      </c>
      <c r="F47" t="s">
        <v>21</v>
      </c>
      <c r="G47">
        <v>5000</v>
      </c>
      <c r="H47" t="s">
        <v>16</v>
      </c>
      <c r="I47">
        <v>5000</v>
      </c>
      <c r="J47">
        <v>0</v>
      </c>
      <c r="K47">
        <v>0</v>
      </c>
      <c r="L47" t="s">
        <v>50</v>
      </c>
    </row>
    <row r="48" spans="1:12" x14ac:dyDescent="0.3">
      <c r="A48" s="1">
        <v>45705</v>
      </c>
      <c r="B48" t="s">
        <v>43</v>
      </c>
      <c r="C48" t="s">
        <v>51</v>
      </c>
      <c r="D48" t="s">
        <v>26</v>
      </c>
      <c r="E48" t="s">
        <v>20</v>
      </c>
      <c r="F48" t="s">
        <v>27</v>
      </c>
      <c r="G48">
        <v>2000</v>
      </c>
      <c r="H48" t="s">
        <v>18</v>
      </c>
      <c r="I48">
        <v>0</v>
      </c>
      <c r="J48">
        <v>5000</v>
      </c>
      <c r="K48">
        <v>3000</v>
      </c>
      <c r="L48" t="s">
        <v>39</v>
      </c>
    </row>
    <row r="49" spans="1:12" x14ac:dyDescent="0.3">
      <c r="A49" s="1">
        <v>45706</v>
      </c>
      <c r="B49" t="s">
        <v>43</v>
      </c>
      <c r="C49" t="s">
        <v>51</v>
      </c>
      <c r="D49" t="s">
        <v>19</v>
      </c>
      <c r="E49" t="s">
        <v>20</v>
      </c>
      <c r="F49" t="s">
        <v>21</v>
      </c>
      <c r="G49">
        <v>650</v>
      </c>
      <c r="H49" t="s">
        <v>18</v>
      </c>
      <c r="I49">
        <v>0</v>
      </c>
      <c r="J49">
        <v>8000</v>
      </c>
      <c r="K49">
        <v>4900</v>
      </c>
      <c r="L49" t="s">
        <v>22</v>
      </c>
    </row>
    <row r="50" spans="1:12" x14ac:dyDescent="0.3">
      <c r="A50" s="1">
        <v>45707</v>
      </c>
      <c r="B50" t="s">
        <v>43</v>
      </c>
      <c r="C50" t="s">
        <v>51</v>
      </c>
      <c r="D50" t="s">
        <v>24</v>
      </c>
      <c r="E50" t="s">
        <v>20</v>
      </c>
      <c r="F50" t="s">
        <v>21</v>
      </c>
      <c r="G50">
        <v>300</v>
      </c>
      <c r="H50" t="s">
        <v>18</v>
      </c>
      <c r="I50">
        <v>0</v>
      </c>
      <c r="J50">
        <v>3000</v>
      </c>
      <c r="K50">
        <v>1650</v>
      </c>
      <c r="L50" t="s">
        <v>40</v>
      </c>
    </row>
    <row r="51" spans="1:12" x14ac:dyDescent="0.3">
      <c r="A51" s="1">
        <v>45708</v>
      </c>
      <c r="B51" t="s">
        <v>43</v>
      </c>
      <c r="C51" t="s">
        <v>51</v>
      </c>
      <c r="D51" t="s">
        <v>29</v>
      </c>
      <c r="E51" t="s">
        <v>14</v>
      </c>
      <c r="F51" t="s">
        <v>15</v>
      </c>
      <c r="G51">
        <v>900</v>
      </c>
      <c r="H51" t="s">
        <v>18</v>
      </c>
      <c r="I51">
        <v>0</v>
      </c>
      <c r="J51">
        <v>2000</v>
      </c>
      <c r="K51">
        <v>1100</v>
      </c>
      <c r="L5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60CA-10E4-42E4-9B20-063B75A4A9EB}">
  <dimension ref="A1:P51"/>
  <sheetViews>
    <sheetView topLeftCell="D1" workbookViewId="0">
      <selection activeCell="P3" sqref="P3"/>
    </sheetView>
  </sheetViews>
  <sheetFormatPr defaultRowHeight="14.4" x14ac:dyDescent="0.3"/>
  <cols>
    <col min="1" max="1" width="10.33203125" bestFit="1" customWidth="1"/>
    <col min="3" max="3" width="15.6640625" bestFit="1" customWidth="1"/>
    <col min="4" max="4" width="17.88671875" bestFit="1" customWidth="1"/>
    <col min="5" max="5" width="14.33203125" bestFit="1" customWidth="1"/>
    <col min="6" max="6" width="15.5546875" bestFit="1" customWidth="1"/>
    <col min="7" max="7" width="9.6640625" bestFit="1" customWidth="1"/>
    <col min="8" max="8" width="10.77734375" bestFit="1" customWidth="1"/>
    <col min="10" max="10" width="17.44140625" bestFit="1" customWidth="1"/>
    <col min="11" max="11" width="18.21875" bestFit="1" customWidth="1"/>
    <col min="12" max="12" width="12.33203125" bestFit="1" customWidth="1"/>
    <col min="13" max="13" width="13.88671875" bestFit="1" customWidth="1"/>
    <col min="14" max="14" width="15.5546875" bestFit="1" customWidth="1"/>
    <col min="15" max="15" width="17.44140625" bestFit="1" customWidth="1"/>
    <col min="16" max="16" width="11.109375" bestFit="1" customWidth="1"/>
  </cols>
  <sheetData>
    <row r="1" spans="1:16" x14ac:dyDescent="0.3">
      <c r="A1" t="s">
        <v>0</v>
      </c>
      <c r="B1" t="s">
        <v>1</v>
      </c>
      <c r="C1" t="s">
        <v>2</v>
      </c>
      <c r="D1" t="s">
        <v>3</v>
      </c>
      <c r="E1" t="s">
        <v>4</v>
      </c>
      <c r="F1" t="s">
        <v>5</v>
      </c>
      <c r="G1" t="s">
        <v>6</v>
      </c>
      <c r="H1" t="s">
        <v>7</v>
      </c>
      <c r="I1" t="s">
        <v>8</v>
      </c>
      <c r="J1" t="s">
        <v>9</v>
      </c>
      <c r="K1" t="s">
        <v>10</v>
      </c>
      <c r="L1" t="s">
        <v>11</v>
      </c>
      <c r="M1" t="s">
        <v>67</v>
      </c>
      <c r="N1" t="s">
        <v>68</v>
      </c>
      <c r="O1" t="s">
        <v>56</v>
      </c>
      <c r="P1" t="s">
        <v>66</v>
      </c>
    </row>
    <row r="2" spans="1:16" x14ac:dyDescent="0.3">
      <c r="A2" s="1">
        <v>45658</v>
      </c>
      <c r="B2" t="s">
        <v>12</v>
      </c>
      <c r="C2" t="s">
        <v>13</v>
      </c>
      <c r="D2" t="s">
        <v>13</v>
      </c>
      <c r="E2" t="s">
        <v>14</v>
      </c>
      <c r="F2" t="s">
        <v>15</v>
      </c>
      <c r="G2">
        <v>50000</v>
      </c>
      <c r="H2" t="s">
        <v>16</v>
      </c>
      <c r="I2">
        <v>50000</v>
      </c>
      <c r="J2">
        <v>0</v>
      </c>
      <c r="K2">
        <v>0</v>
      </c>
      <c r="L2" t="s">
        <v>45</v>
      </c>
      <c r="M2">
        <f>IF(Finance_Data[[#This Row],[Indicator]]="Income", Finance_Data[[#This Row],[Amount]], 0)</f>
        <v>50000</v>
      </c>
      <c r="N2">
        <f>IF(Finance_Data[[#This Row],[Indicator]]="Expense", Finance_Data[[#This Row],[Amount]], 0)</f>
        <v>0</v>
      </c>
      <c r="O2">
        <f>Finance_Data[[#This Row],[ Income]]-Finance_Data[[#This Row],[Expenses]]</f>
        <v>50000</v>
      </c>
      <c r="P2">
        <f>IFERROR(Finance_Data[[#This Row],[Savings]]/Finance_Data[[#This Row],[ Income]],0)</f>
        <v>1</v>
      </c>
    </row>
    <row r="3" spans="1:16" x14ac:dyDescent="0.3">
      <c r="A3" s="1">
        <v>45659</v>
      </c>
      <c r="B3" t="s">
        <v>12</v>
      </c>
      <c r="C3" t="s">
        <v>51</v>
      </c>
      <c r="D3" t="s">
        <v>17</v>
      </c>
      <c r="E3" t="s">
        <v>14</v>
      </c>
      <c r="F3" t="s">
        <v>15</v>
      </c>
      <c r="G3">
        <v>15000</v>
      </c>
      <c r="H3" t="s">
        <v>18</v>
      </c>
      <c r="I3">
        <v>0</v>
      </c>
      <c r="J3">
        <v>15000</v>
      </c>
      <c r="K3">
        <v>0</v>
      </c>
      <c r="L3" t="s">
        <v>46</v>
      </c>
      <c r="M3">
        <f>IF(Finance_Data[[#This Row],[Indicator]]="Income", Finance_Data[[#This Row],[Amount]], 0)</f>
        <v>0</v>
      </c>
      <c r="N3">
        <f>IF(Finance_Data[[#This Row],[Indicator]]="Expense", Finance_Data[[#This Row],[Amount]], 0)</f>
        <v>15000</v>
      </c>
      <c r="O3">
        <f>Finance_Data[[#This Row],[ Income]]-Finance_Data[[#This Row],[Expenses]]</f>
        <v>-15000</v>
      </c>
      <c r="P3">
        <f>IFERROR(Finance_Data[[#This Row],[Savings]]/Finance_Data[[#This Row],[ Income]],0)</f>
        <v>0</v>
      </c>
    </row>
    <row r="4" spans="1:16" x14ac:dyDescent="0.3">
      <c r="A4" s="1">
        <v>45660</v>
      </c>
      <c r="B4" t="s">
        <v>12</v>
      </c>
      <c r="C4" t="s">
        <v>51</v>
      </c>
      <c r="D4" t="s">
        <v>19</v>
      </c>
      <c r="E4" t="s">
        <v>20</v>
      </c>
      <c r="F4" t="s">
        <v>21</v>
      </c>
      <c r="G4">
        <v>500</v>
      </c>
      <c r="H4" t="s">
        <v>18</v>
      </c>
      <c r="I4">
        <v>0</v>
      </c>
      <c r="J4">
        <v>8000</v>
      </c>
      <c r="K4">
        <v>7500</v>
      </c>
      <c r="L4" t="s">
        <v>22</v>
      </c>
      <c r="M4">
        <f>IF(Finance_Data[[#This Row],[Indicator]]="Income", Finance_Data[[#This Row],[Amount]], 0)</f>
        <v>0</v>
      </c>
      <c r="N4">
        <f>IF(Finance_Data[[#This Row],[Indicator]]="Expense", Finance_Data[[#This Row],[Amount]], 0)</f>
        <v>500</v>
      </c>
      <c r="O4">
        <f>Finance_Data[[#This Row],[ Income]]-Finance_Data[[#This Row],[Expenses]]</f>
        <v>-500</v>
      </c>
      <c r="P4">
        <f>IFERROR(Finance_Data[[#This Row],[Savings]]/Finance_Data[[#This Row],[ Income]],0)</f>
        <v>0</v>
      </c>
    </row>
    <row r="5" spans="1:16" x14ac:dyDescent="0.3">
      <c r="A5" s="1">
        <v>45661</v>
      </c>
      <c r="B5" t="s">
        <v>12</v>
      </c>
      <c r="C5" t="s">
        <v>23</v>
      </c>
      <c r="D5" t="s">
        <v>23</v>
      </c>
      <c r="E5" t="s">
        <v>20</v>
      </c>
      <c r="F5" t="s">
        <v>21</v>
      </c>
      <c r="G5">
        <v>8000</v>
      </c>
      <c r="H5" t="s">
        <v>16</v>
      </c>
      <c r="I5">
        <v>8000</v>
      </c>
      <c r="J5">
        <v>0</v>
      </c>
      <c r="K5">
        <v>0</v>
      </c>
      <c r="L5" t="s">
        <v>47</v>
      </c>
      <c r="M5">
        <f>IF(Finance_Data[[#This Row],[Indicator]]="Income", Finance_Data[[#This Row],[Amount]], 0)</f>
        <v>8000</v>
      </c>
      <c r="N5">
        <f>IF(Finance_Data[[#This Row],[Indicator]]="Expense", Finance_Data[[#This Row],[Amount]], 0)</f>
        <v>0</v>
      </c>
      <c r="O5">
        <f>Finance_Data[[#This Row],[ Income]]-Finance_Data[[#This Row],[Expenses]]</f>
        <v>8000</v>
      </c>
      <c r="P5">
        <f>IFERROR(Finance_Data[[#This Row],[Savings]]/Finance_Data[[#This Row],[ Income]],0)</f>
        <v>1</v>
      </c>
    </row>
    <row r="6" spans="1:16" x14ac:dyDescent="0.3">
      <c r="A6" s="1">
        <v>45662</v>
      </c>
      <c r="B6" t="s">
        <v>12</v>
      </c>
      <c r="C6" t="s">
        <v>51</v>
      </c>
      <c r="D6" t="s">
        <v>24</v>
      </c>
      <c r="E6" t="s">
        <v>20</v>
      </c>
      <c r="F6" t="s">
        <v>21</v>
      </c>
      <c r="G6">
        <v>300</v>
      </c>
      <c r="H6" t="s">
        <v>18</v>
      </c>
      <c r="I6">
        <v>0</v>
      </c>
      <c r="J6">
        <v>3000</v>
      </c>
      <c r="K6">
        <v>2700</v>
      </c>
      <c r="L6" t="s">
        <v>25</v>
      </c>
      <c r="M6">
        <f>IF(Finance_Data[[#This Row],[Indicator]]="Income", Finance_Data[[#This Row],[Amount]], 0)</f>
        <v>0</v>
      </c>
      <c r="N6">
        <f>IF(Finance_Data[[#This Row],[Indicator]]="Expense", Finance_Data[[#This Row],[Amount]], 0)</f>
        <v>300</v>
      </c>
      <c r="O6">
        <f>Finance_Data[[#This Row],[ Income]]-Finance_Data[[#This Row],[Expenses]]</f>
        <v>-300</v>
      </c>
      <c r="P6">
        <f>IFERROR(Finance_Data[[#This Row],[Savings]]/Finance_Data[[#This Row],[ Income]],0)</f>
        <v>0</v>
      </c>
    </row>
    <row r="7" spans="1:16" x14ac:dyDescent="0.3">
      <c r="A7" s="1">
        <v>45663</v>
      </c>
      <c r="B7" t="s">
        <v>12</v>
      </c>
      <c r="C7" t="s">
        <v>51</v>
      </c>
      <c r="D7" t="s">
        <v>26</v>
      </c>
      <c r="E7" t="s">
        <v>20</v>
      </c>
      <c r="F7" t="s">
        <v>27</v>
      </c>
      <c r="G7">
        <v>2000</v>
      </c>
      <c r="H7" t="s">
        <v>18</v>
      </c>
      <c r="I7">
        <v>0</v>
      </c>
      <c r="J7">
        <v>5000</v>
      </c>
      <c r="K7">
        <v>3000</v>
      </c>
      <c r="L7" t="s">
        <v>28</v>
      </c>
      <c r="M7">
        <f>IF(Finance_Data[[#This Row],[Indicator]]="Income", Finance_Data[[#This Row],[Amount]], 0)</f>
        <v>0</v>
      </c>
      <c r="N7">
        <f>IF(Finance_Data[[#This Row],[Indicator]]="Expense", Finance_Data[[#This Row],[Amount]], 0)</f>
        <v>2000</v>
      </c>
      <c r="O7">
        <f>Finance_Data[[#This Row],[ Income]]-Finance_Data[[#This Row],[Expenses]]</f>
        <v>-2000</v>
      </c>
      <c r="P7">
        <f>IFERROR(Finance_Data[[#This Row],[Savings]]/Finance_Data[[#This Row],[ Income]],0)</f>
        <v>0</v>
      </c>
    </row>
    <row r="8" spans="1:16" x14ac:dyDescent="0.3">
      <c r="A8" s="1">
        <v>45664</v>
      </c>
      <c r="B8" t="s">
        <v>12</v>
      </c>
      <c r="C8" t="s">
        <v>51</v>
      </c>
      <c r="D8" t="s">
        <v>29</v>
      </c>
      <c r="E8" t="s">
        <v>14</v>
      </c>
      <c r="F8" t="s">
        <v>15</v>
      </c>
      <c r="G8">
        <v>1500</v>
      </c>
      <c r="H8" t="s">
        <v>18</v>
      </c>
      <c r="I8">
        <v>0</v>
      </c>
      <c r="J8">
        <v>2000</v>
      </c>
      <c r="K8">
        <v>500</v>
      </c>
      <c r="L8" t="s">
        <v>30</v>
      </c>
      <c r="M8">
        <f>IF(Finance_Data[[#This Row],[Indicator]]="Income", Finance_Data[[#This Row],[Amount]], 0)</f>
        <v>0</v>
      </c>
      <c r="N8">
        <f>IF(Finance_Data[[#This Row],[Indicator]]="Expense", Finance_Data[[#This Row],[Amount]], 0)</f>
        <v>1500</v>
      </c>
      <c r="O8">
        <f>Finance_Data[[#This Row],[ Income]]-Finance_Data[[#This Row],[Expenses]]</f>
        <v>-1500</v>
      </c>
      <c r="P8">
        <f>IFERROR(Finance_Data[[#This Row],[Savings]]/Finance_Data[[#This Row],[ Income]],0)</f>
        <v>0</v>
      </c>
    </row>
    <row r="9" spans="1:16" x14ac:dyDescent="0.3">
      <c r="A9" s="1">
        <v>45665</v>
      </c>
      <c r="B9" t="s">
        <v>12</v>
      </c>
      <c r="C9" t="s">
        <v>51</v>
      </c>
      <c r="D9" t="s">
        <v>19</v>
      </c>
      <c r="E9" t="s">
        <v>20</v>
      </c>
      <c r="F9" t="s">
        <v>21</v>
      </c>
      <c r="G9">
        <v>600</v>
      </c>
      <c r="H9" t="s">
        <v>18</v>
      </c>
      <c r="I9">
        <v>0</v>
      </c>
      <c r="J9">
        <v>8000</v>
      </c>
      <c r="K9">
        <v>6900</v>
      </c>
      <c r="L9" t="s">
        <v>31</v>
      </c>
      <c r="M9">
        <f>IF(Finance_Data[[#This Row],[Indicator]]="Income", Finance_Data[[#This Row],[Amount]], 0)</f>
        <v>0</v>
      </c>
      <c r="N9">
        <f>IF(Finance_Data[[#This Row],[Indicator]]="Expense", Finance_Data[[#This Row],[Amount]], 0)</f>
        <v>600</v>
      </c>
      <c r="O9">
        <f>Finance_Data[[#This Row],[ Income]]-Finance_Data[[#This Row],[Expenses]]</f>
        <v>-600</v>
      </c>
      <c r="P9">
        <f>IFERROR(Finance_Data[[#This Row],[Savings]]/Finance_Data[[#This Row],[ Income]],0)</f>
        <v>0</v>
      </c>
    </row>
    <row r="10" spans="1:16" x14ac:dyDescent="0.3">
      <c r="A10" s="1">
        <v>45666</v>
      </c>
      <c r="B10" t="s">
        <v>12</v>
      </c>
      <c r="C10" t="s">
        <v>51</v>
      </c>
      <c r="D10" t="s">
        <v>32</v>
      </c>
      <c r="E10" t="s">
        <v>14</v>
      </c>
      <c r="F10" t="s">
        <v>15</v>
      </c>
      <c r="G10">
        <v>5000</v>
      </c>
      <c r="H10" t="s">
        <v>18</v>
      </c>
      <c r="I10">
        <v>0</v>
      </c>
      <c r="J10">
        <v>5000</v>
      </c>
      <c r="K10">
        <v>0</v>
      </c>
      <c r="L10" t="s">
        <v>48</v>
      </c>
      <c r="M10">
        <f>IF(Finance_Data[[#This Row],[Indicator]]="Income", Finance_Data[[#This Row],[Amount]], 0)</f>
        <v>0</v>
      </c>
      <c r="N10">
        <f>IF(Finance_Data[[#This Row],[Indicator]]="Expense", Finance_Data[[#This Row],[Amount]], 0)</f>
        <v>5000</v>
      </c>
      <c r="O10">
        <f>Finance_Data[[#This Row],[ Income]]-Finance_Data[[#This Row],[Expenses]]</f>
        <v>-5000</v>
      </c>
      <c r="P10">
        <f>IFERROR(Finance_Data[[#This Row],[Savings]]/Finance_Data[[#This Row],[ Income]],0)</f>
        <v>0</v>
      </c>
    </row>
    <row r="11" spans="1:16" x14ac:dyDescent="0.3">
      <c r="A11" s="1">
        <v>45667</v>
      </c>
      <c r="B11" t="s">
        <v>12</v>
      </c>
      <c r="C11" t="s">
        <v>51</v>
      </c>
      <c r="D11" t="s">
        <v>24</v>
      </c>
      <c r="E11" t="s">
        <v>20</v>
      </c>
      <c r="F11" t="s">
        <v>21</v>
      </c>
      <c r="G11">
        <v>400</v>
      </c>
      <c r="H11" t="s">
        <v>18</v>
      </c>
      <c r="I11">
        <v>0</v>
      </c>
      <c r="J11">
        <v>3000</v>
      </c>
      <c r="K11">
        <v>2600</v>
      </c>
      <c r="L11" t="s">
        <v>34</v>
      </c>
      <c r="M11">
        <f>IF(Finance_Data[[#This Row],[Indicator]]="Income", Finance_Data[[#This Row],[Amount]], 0)</f>
        <v>0</v>
      </c>
      <c r="N11">
        <f>IF(Finance_Data[[#This Row],[Indicator]]="Expense", Finance_Data[[#This Row],[Amount]], 0)</f>
        <v>400</v>
      </c>
      <c r="O11">
        <f>Finance_Data[[#This Row],[ Income]]-Finance_Data[[#This Row],[Expenses]]</f>
        <v>-400</v>
      </c>
      <c r="P11">
        <f>IFERROR(Finance_Data[[#This Row],[Savings]]/Finance_Data[[#This Row],[ Income]],0)</f>
        <v>0</v>
      </c>
    </row>
    <row r="12" spans="1:16" x14ac:dyDescent="0.3">
      <c r="A12" s="1">
        <v>45668</v>
      </c>
      <c r="B12" t="s">
        <v>12</v>
      </c>
      <c r="C12" t="s">
        <v>51</v>
      </c>
      <c r="D12" t="s">
        <v>19</v>
      </c>
      <c r="E12" t="s">
        <v>20</v>
      </c>
      <c r="F12" t="s">
        <v>21</v>
      </c>
      <c r="G12">
        <v>700</v>
      </c>
      <c r="H12" t="s">
        <v>18</v>
      </c>
      <c r="I12">
        <v>0</v>
      </c>
      <c r="J12">
        <v>8000</v>
      </c>
      <c r="K12">
        <v>6200</v>
      </c>
      <c r="L12" t="s">
        <v>35</v>
      </c>
      <c r="M12">
        <f>IF(Finance_Data[[#This Row],[Indicator]]="Income", Finance_Data[[#This Row],[Amount]], 0)</f>
        <v>0</v>
      </c>
      <c r="N12">
        <f>IF(Finance_Data[[#This Row],[Indicator]]="Expense", Finance_Data[[#This Row],[Amount]], 0)</f>
        <v>700</v>
      </c>
      <c r="O12">
        <f>Finance_Data[[#This Row],[ Income]]-Finance_Data[[#This Row],[Expenses]]</f>
        <v>-700</v>
      </c>
      <c r="P12">
        <f>IFERROR(Finance_Data[[#This Row],[Savings]]/Finance_Data[[#This Row],[ Income]],0)</f>
        <v>0</v>
      </c>
    </row>
    <row r="13" spans="1:16" x14ac:dyDescent="0.3">
      <c r="A13" s="1">
        <v>45669</v>
      </c>
      <c r="B13" t="s">
        <v>12</v>
      </c>
      <c r="C13" t="s">
        <v>51</v>
      </c>
      <c r="D13" t="s">
        <v>26</v>
      </c>
      <c r="E13" t="s">
        <v>20</v>
      </c>
      <c r="F13" t="s">
        <v>27</v>
      </c>
      <c r="G13">
        <v>1500</v>
      </c>
      <c r="H13" t="s">
        <v>18</v>
      </c>
      <c r="I13">
        <v>0</v>
      </c>
      <c r="J13">
        <v>5000</v>
      </c>
      <c r="K13">
        <v>3500</v>
      </c>
      <c r="L13" t="s">
        <v>36</v>
      </c>
      <c r="M13">
        <f>IF(Finance_Data[[#This Row],[Indicator]]="Income", Finance_Data[[#This Row],[Amount]], 0)</f>
        <v>0</v>
      </c>
      <c r="N13">
        <f>IF(Finance_Data[[#This Row],[Indicator]]="Expense", Finance_Data[[#This Row],[Amount]], 0)</f>
        <v>1500</v>
      </c>
      <c r="O13">
        <f>Finance_Data[[#This Row],[ Income]]-Finance_Data[[#This Row],[Expenses]]</f>
        <v>-1500</v>
      </c>
      <c r="P13">
        <f>IFERROR(Finance_Data[[#This Row],[Savings]]/Finance_Data[[#This Row],[ Income]],0)</f>
        <v>0</v>
      </c>
    </row>
    <row r="14" spans="1:16" x14ac:dyDescent="0.3">
      <c r="A14" s="1">
        <v>45670</v>
      </c>
      <c r="B14" t="s">
        <v>12</v>
      </c>
      <c r="C14" t="s">
        <v>51</v>
      </c>
      <c r="D14" t="s">
        <v>29</v>
      </c>
      <c r="E14" t="s">
        <v>14</v>
      </c>
      <c r="F14" t="s">
        <v>15</v>
      </c>
      <c r="G14">
        <v>1200</v>
      </c>
      <c r="H14" t="s">
        <v>18</v>
      </c>
      <c r="I14">
        <v>0</v>
      </c>
      <c r="J14">
        <v>2000</v>
      </c>
      <c r="K14">
        <v>800</v>
      </c>
      <c r="L14" t="s">
        <v>37</v>
      </c>
      <c r="M14">
        <f>IF(Finance_Data[[#This Row],[Indicator]]="Income", Finance_Data[[#This Row],[Amount]], 0)</f>
        <v>0</v>
      </c>
      <c r="N14">
        <f>IF(Finance_Data[[#This Row],[Indicator]]="Expense", Finance_Data[[#This Row],[Amount]], 0)</f>
        <v>1200</v>
      </c>
      <c r="O14">
        <f>Finance_Data[[#This Row],[ Income]]-Finance_Data[[#This Row],[Expenses]]</f>
        <v>-1200</v>
      </c>
      <c r="P14">
        <f>IFERROR(Finance_Data[[#This Row],[Savings]]/Finance_Data[[#This Row],[ Income]],0)</f>
        <v>0</v>
      </c>
    </row>
    <row r="15" spans="1:16" x14ac:dyDescent="0.3">
      <c r="A15" s="1">
        <v>45671</v>
      </c>
      <c r="B15" t="s">
        <v>12</v>
      </c>
      <c r="C15" t="s">
        <v>51</v>
      </c>
      <c r="D15" t="s">
        <v>19</v>
      </c>
      <c r="E15" t="s">
        <v>20</v>
      </c>
      <c r="F15" t="s">
        <v>21</v>
      </c>
      <c r="G15">
        <v>450</v>
      </c>
      <c r="H15" t="s">
        <v>18</v>
      </c>
      <c r="I15">
        <v>0</v>
      </c>
      <c r="J15">
        <v>8000</v>
      </c>
      <c r="K15">
        <v>5750</v>
      </c>
      <c r="L15" t="s">
        <v>38</v>
      </c>
      <c r="M15">
        <f>IF(Finance_Data[[#This Row],[Indicator]]="Income", Finance_Data[[#This Row],[Amount]], 0)</f>
        <v>0</v>
      </c>
      <c r="N15">
        <f>IF(Finance_Data[[#This Row],[Indicator]]="Expense", Finance_Data[[#This Row],[Amount]], 0)</f>
        <v>450</v>
      </c>
      <c r="O15">
        <f>Finance_Data[[#This Row],[ Income]]-Finance_Data[[#This Row],[Expenses]]</f>
        <v>-450</v>
      </c>
      <c r="P15">
        <f>IFERROR(Finance_Data[[#This Row],[Savings]]/Finance_Data[[#This Row],[ Income]],0)</f>
        <v>0</v>
      </c>
    </row>
    <row r="16" spans="1:16" x14ac:dyDescent="0.3">
      <c r="A16" s="1">
        <v>45672</v>
      </c>
      <c r="B16" t="s">
        <v>12</v>
      </c>
      <c r="C16" t="s">
        <v>51</v>
      </c>
      <c r="D16" t="s">
        <v>24</v>
      </c>
      <c r="E16" t="s">
        <v>20</v>
      </c>
      <c r="F16" t="s">
        <v>21</v>
      </c>
      <c r="G16">
        <v>350</v>
      </c>
      <c r="H16" t="s">
        <v>18</v>
      </c>
      <c r="I16">
        <v>0</v>
      </c>
      <c r="J16">
        <v>3000</v>
      </c>
      <c r="K16">
        <v>2250</v>
      </c>
      <c r="L16" t="s">
        <v>25</v>
      </c>
      <c r="M16">
        <f>IF(Finance_Data[[#This Row],[Indicator]]="Income", Finance_Data[[#This Row],[Amount]], 0)</f>
        <v>0</v>
      </c>
      <c r="N16">
        <f>IF(Finance_Data[[#This Row],[Indicator]]="Expense", Finance_Data[[#This Row],[Amount]], 0)</f>
        <v>350</v>
      </c>
      <c r="O16">
        <f>Finance_Data[[#This Row],[ Income]]-Finance_Data[[#This Row],[Expenses]]</f>
        <v>-350</v>
      </c>
      <c r="P16">
        <f>IFERROR(Finance_Data[[#This Row],[Savings]]/Finance_Data[[#This Row],[ Income]],0)</f>
        <v>0</v>
      </c>
    </row>
    <row r="17" spans="1:16" x14ac:dyDescent="0.3">
      <c r="A17" s="1">
        <v>45673</v>
      </c>
      <c r="B17" t="s">
        <v>12</v>
      </c>
      <c r="C17" t="s">
        <v>23</v>
      </c>
      <c r="D17" t="s">
        <v>23</v>
      </c>
      <c r="E17" t="s">
        <v>20</v>
      </c>
      <c r="F17" t="s">
        <v>21</v>
      </c>
      <c r="G17">
        <v>6000</v>
      </c>
      <c r="H17" t="s">
        <v>16</v>
      </c>
      <c r="I17">
        <v>6000</v>
      </c>
      <c r="J17">
        <v>0</v>
      </c>
      <c r="K17">
        <v>0</v>
      </c>
      <c r="L17" t="s">
        <v>49</v>
      </c>
      <c r="M17">
        <f>IF(Finance_Data[[#This Row],[Indicator]]="Income", Finance_Data[[#This Row],[Amount]], 0)</f>
        <v>6000</v>
      </c>
      <c r="N17">
        <f>IF(Finance_Data[[#This Row],[Indicator]]="Expense", Finance_Data[[#This Row],[Amount]], 0)</f>
        <v>0</v>
      </c>
      <c r="O17">
        <f>Finance_Data[[#This Row],[ Income]]-Finance_Data[[#This Row],[Expenses]]</f>
        <v>6000</v>
      </c>
      <c r="P17">
        <f>IFERROR(Finance_Data[[#This Row],[Savings]]/Finance_Data[[#This Row],[ Income]],0)</f>
        <v>1</v>
      </c>
    </row>
    <row r="18" spans="1:16" x14ac:dyDescent="0.3">
      <c r="A18" s="1">
        <v>45674</v>
      </c>
      <c r="B18" t="s">
        <v>12</v>
      </c>
      <c r="C18" t="s">
        <v>51</v>
      </c>
      <c r="D18" t="s">
        <v>26</v>
      </c>
      <c r="E18" t="s">
        <v>20</v>
      </c>
      <c r="F18" t="s">
        <v>27</v>
      </c>
      <c r="G18">
        <v>2200</v>
      </c>
      <c r="H18" t="s">
        <v>18</v>
      </c>
      <c r="I18">
        <v>0</v>
      </c>
      <c r="J18">
        <v>5000</v>
      </c>
      <c r="K18">
        <v>2800</v>
      </c>
      <c r="L18" t="s">
        <v>39</v>
      </c>
      <c r="M18">
        <f>IF(Finance_Data[[#This Row],[Indicator]]="Income", Finance_Data[[#This Row],[Amount]], 0)</f>
        <v>0</v>
      </c>
      <c r="N18">
        <f>IF(Finance_Data[[#This Row],[Indicator]]="Expense", Finance_Data[[#This Row],[Amount]], 0)</f>
        <v>2200</v>
      </c>
      <c r="O18">
        <f>Finance_Data[[#This Row],[ Income]]-Finance_Data[[#This Row],[Expenses]]</f>
        <v>-2200</v>
      </c>
      <c r="P18">
        <f>IFERROR(Finance_Data[[#This Row],[Savings]]/Finance_Data[[#This Row],[ Income]],0)</f>
        <v>0</v>
      </c>
    </row>
    <row r="19" spans="1:16" x14ac:dyDescent="0.3">
      <c r="A19" s="1">
        <v>45675</v>
      </c>
      <c r="B19" t="s">
        <v>12</v>
      </c>
      <c r="C19" t="s">
        <v>51</v>
      </c>
      <c r="D19" t="s">
        <v>19</v>
      </c>
      <c r="E19" t="s">
        <v>20</v>
      </c>
      <c r="F19" t="s">
        <v>21</v>
      </c>
      <c r="G19">
        <v>650</v>
      </c>
      <c r="H19" t="s">
        <v>18</v>
      </c>
      <c r="I19">
        <v>0</v>
      </c>
      <c r="J19">
        <v>8000</v>
      </c>
      <c r="K19">
        <v>5100</v>
      </c>
      <c r="L19" t="s">
        <v>22</v>
      </c>
      <c r="M19">
        <f>IF(Finance_Data[[#This Row],[Indicator]]="Income", Finance_Data[[#This Row],[Amount]], 0)</f>
        <v>0</v>
      </c>
      <c r="N19">
        <f>IF(Finance_Data[[#This Row],[Indicator]]="Expense", Finance_Data[[#This Row],[Amount]], 0)</f>
        <v>650</v>
      </c>
      <c r="O19">
        <f>Finance_Data[[#This Row],[ Income]]-Finance_Data[[#This Row],[Expenses]]</f>
        <v>-650</v>
      </c>
      <c r="P19">
        <f>IFERROR(Finance_Data[[#This Row],[Savings]]/Finance_Data[[#This Row],[ Income]],0)</f>
        <v>0</v>
      </c>
    </row>
    <row r="20" spans="1:16" x14ac:dyDescent="0.3">
      <c r="A20" s="1">
        <v>45676</v>
      </c>
      <c r="B20" t="s">
        <v>12</v>
      </c>
      <c r="C20" t="s">
        <v>51</v>
      </c>
      <c r="D20" t="s">
        <v>24</v>
      </c>
      <c r="E20" t="s">
        <v>20</v>
      </c>
      <c r="F20" t="s">
        <v>21</v>
      </c>
      <c r="G20">
        <v>300</v>
      </c>
      <c r="H20" t="s">
        <v>18</v>
      </c>
      <c r="I20">
        <v>0</v>
      </c>
      <c r="J20">
        <v>3000</v>
      </c>
      <c r="K20">
        <v>1950</v>
      </c>
      <c r="L20" t="s">
        <v>40</v>
      </c>
      <c r="M20">
        <f>IF(Finance_Data[[#This Row],[Indicator]]="Income", Finance_Data[[#This Row],[Amount]], 0)</f>
        <v>0</v>
      </c>
      <c r="N20">
        <f>IF(Finance_Data[[#This Row],[Indicator]]="Expense", Finance_Data[[#This Row],[Amount]], 0)</f>
        <v>300</v>
      </c>
      <c r="O20">
        <f>Finance_Data[[#This Row],[ Income]]-Finance_Data[[#This Row],[Expenses]]</f>
        <v>-300</v>
      </c>
      <c r="P20">
        <f>IFERROR(Finance_Data[[#This Row],[Savings]]/Finance_Data[[#This Row],[ Income]],0)</f>
        <v>0</v>
      </c>
    </row>
    <row r="21" spans="1:16" x14ac:dyDescent="0.3">
      <c r="A21" s="1">
        <v>45677</v>
      </c>
      <c r="B21" t="s">
        <v>12</v>
      </c>
      <c r="C21" t="s">
        <v>51</v>
      </c>
      <c r="D21" t="s">
        <v>29</v>
      </c>
      <c r="E21" t="s">
        <v>14</v>
      </c>
      <c r="F21" t="s">
        <v>15</v>
      </c>
      <c r="G21">
        <v>800</v>
      </c>
      <c r="H21" t="s">
        <v>18</v>
      </c>
      <c r="I21">
        <v>0</v>
      </c>
      <c r="J21">
        <v>2000</v>
      </c>
      <c r="K21">
        <v>1200</v>
      </c>
      <c r="L21" t="s">
        <v>41</v>
      </c>
      <c r="M21">
        <f>IF(Finance_Data[[#This Row],[Indicator]]="Income", Finance_Data[[#This Row],[Amount]], 0)</f>
        <v>0</v>
      </c>
      <c r="N21">
        <f>IF(Finance_Data[[#This Row],[Indicator]]="Expense", Finance_Data[[#This Row],[Amount]], 0)</f>
        <v>800</v>
      </c>
      <c r="O21">
        <f>Finance_Data[[#This Row],[ Income]]-Finance_Data[[#This Row],[Expenses]]</f>
        <v>-800</v>
      </c>
      <c r="P21">
        <f>IFERROR(Finance_Data[[#This Row],[Savings]]/Finance_Data[[#This Row],[ Income]],0)</f>
        <v>0</v>
      </c>
    </row>
    <row r="22" spans="1:16" x14ac:dyDescent="0.3">
      <c r="A22" s="1">
        <v>45678</v>
      </c>
      <c r="B22" t="s">
        <v>12</v>
      </c>
      <c r="C22" t="s">
        <v>51</v>
      </c>
      <c r="D22" t="s">
        <v>19</v>
      </c>
      <c r="E22" t="s">
        <v>20</v>
      </c>
      <c r="F22" t="s">
        <v>21</v>
      </c>
      <c r="G22">
        <v>550</v>
      </c>
      <c r="H22" t="s">
        <v>18</v>
      </c>
      <c r="I22">
        <v>0</v>
      </c>
      <c r="J22">
        <v>8000</v>
      </c>
      <c r="K22">
        <v>4550</v>
      </c>
      <c r="L22" t="s">
        <v>31</v>
      </c>
      <c r="M22">
        <f>IF(Finance_Data[[#This Row],[Indicator]]="Income", Finance_Data[[#This Row],[Amount]], 0)</f>
        <v>0</v>
      </c>
      <c r="N22">
        <f>IF(Finance_Data[[#This Row],[Indicator]]="Expense", Finance_Data[[#This Row],[Amount]], 0)</f>
        <v>550</v>
      </c>
      <c r="O22">
        <f>Finance_Data[[#This Row],[ Income]]-Finance_Data[[#This Row],[Expenses]]</f>
        <v>-550</v>
      </c>
      <c r="P22">
        <f>IFERROR(Finance_Data[[#This Row],[Savings]]/Finance_Data[[#This Row],[ Income]],0)</f>
        <v>0</v>
      </c>
    </row>
    <row r="23" spans="1:16" x14ac:dyDescent="0.3">
      <c r="A23" s="1">
        <v>45679</v>
      </c>
      <c r="B23" t="s">
        <v>12</v>
      </c>
      <c r="C23" t="s">
        <v>51</v>
      </c>
      <c r="D23" t="s">
        <v>26</v>
      </c>
      <c r="E23" t="s">
        <v>20</v>
      </c>
      <c r="F23" t="s">
        <v>27</v>
      </c>
      <c r="G23">
        <v>1800</v>
      </c>
      <c r="H23" t="s">
        <v>18</v>
      </c>
      <c r="I23">
        <v>0</v>
      </c>
      <c r="J23">
        <v>5000</v>
      </c>
      <c r="K23">
        <v>3200</v>
      </c>
      <c r="L23" t="s">
        <v>36</v>
      </c>
      <c r="M23">
        <f>IF(Finance_Data[[#This Row],[Indicator]]="Income", Finance_Data[[#This Row],[Amount]], 0)</f>
        <v>0</v>
      </c>
      <c r="N23">
        <f>IF(Finance_Data[[#This Row],[Indicator]]="Expense", Finance_Data[[#This Row],[Amount]], 0)</f>
        <v>1800</v>
      </c>
      <c r="O23">
        <f>Finance_Data[[#This Row],[ Income]]-Finance_Data[[#This Row],[Expenses]]</f>
        <v>-1800</v>
      </c>
      <c r="P23">
        <f>IFERROR(Finance_Data[[#This Row],[Savings]]/Finance_Data[[#This Row],[ Income]],0)</f>
        <v>0</v>
      </c>
    </row>
    <row r="24" spans="1:16" x14ac:dyDescent="0.3">
      <c r="A24" s="1">
        <v>45680</v>
      </c>
      <c r="B24" t="s">
        <v>12</v>
      </c>
      <c r="C24" t="s">
        <v>51</v>
      </c>
      <c r="D24" t="s">
        <v>24</v>
      </c>
      <c r="E24" t="s">
        <v>20</v>
      </c>
      <c r="F24" t="s">
        <v>21</v>
      </c>
      <c r="G24">
        <v>250</v>
      </c>
      <c r="H24" t="s">
        <v>18</v>
      </c>
      <c r="I24">
        <v>0</v>
      </c>
      <c r="J24">
        <v>3000</v>
      </c>
      <c r="K24">
        <v>1700</v>
      </c>
      <c r="L24" t="s">
        <v>25</v>
      </c>
      <c r="M24">
        <f>IF(Finance_Data[[#This Row],[Indicator]]="Income", Finance_Data[[#This Row],[Amount]], 0)</f>
        <v>0</v>
      </c>
      <c r="N24">
        <f>IF(Finance_Data[[#This Row],[Indicator]]="Expense", Finance_Data[[#This Row],[Amount]], 0)</f>
        <v>250</v>
      </c>
      <c r="O24">
        <f>Finance_Data[[#This Row],[ Income]]-Finance_Data[[#This Row],[Expenses]]</f>
        <v>-250</v>
      </c>
      <c r="P24">
        <f>IFERROR(Finance_Data[[#This Row],[Savings]]/Finance_Data[[#This Row],[ Income]],0)</f>
        <v>0</v>
      </c>
    </row>
    <row r="25" spans="1:16" x14ac:dyDescent="0.3">
      <c r="A25" s="1">
        <v>45681</v>
      </c>
      <c r="B25" t="s">
        <v>12</v>
      </c>
      <c r="C25" t="s">
        <v>51</v>
      </c>
      <c r="D25" t="s">
        <v>19</v>
      </c>
      <c r="E25" t="s">
        <v>20</v>
      </c>
      <c r="F25" t="s">
        <v>21</v>
      </c>
      <c r="G25">
        <v>700</v>
      </c>
      <c r="H25" t="s">
        <v>18</v>
      </c>
      <c r="I25">
        <v>0</v>
      </c>
      <c r="J25">
        <v>8000</v>
      </c>
      <c r="K25">
        <v>3850</v>
      </c>
      <c r="L25" t="s">
        <v>35</v>
      </c>
      <c r="M25">
        <f>IF(Finance_Data[[#This Row],[Indicator]]="Income", Finance_Data[[#This Row],[Amount]], 0)</f>
        <v>0</v>
      </c>
      <c r="N25">
        <f>IF(Finance_Data[[#This Row],[Indicator]]="Expense", Finance_Data[[#This Row],[Amount]], 0)</f>
        <v>700</v>
      </c>
      <c r="O25">
        <f>Finance_Data[[#This Row],[ Income]]-Finance_Data[[#This Row],[Expenses]]</f>
        <v>-700</v>
      </c>
      <c r="P25">
        <f>IFERROR(Finance_Data[[#This Row],[Savings]]/Finance_Data[[#This Row],[ Income]],0)</f>
        <v>0</v>
      </c>
    </row>
    <row r="26" spans="1:16" x14ac:dyDescent="0.3">
      <c r="A26" s="1">
        <v>45682</v>
      </c>
      <c r="B26" t="s">
        <v>12</v>
      </c>
      <c r="C26" t="s">
        <v>51</v>
      </c>
      <c r="D26" t="s">
        <v>29</v>
      </c>
      <c r="E26" t="s">
        <v>14</v>
      </c>
      <c r="F26" t="s">
        <v>15</v>
      </c>
      <c r="G26">
        <v>1000</v>
      </c>
      <c r="H26" t="s">
        <v>18</v>
      </c>
      <c r="I26">
        <v>0</v>
      </c>
      <c r="J26">
        <v>2000</v>
      </c>
      <c r="K26">
        <v>1000</v>
      </c>
      <c r="L26" t="s">
        <v>42</v>
      </c>
      <c r="M26">
        <f>IF(Finance_Data[[#This Row],[Indicator]]="Income", Finance_Data[[#This Row],[Amount]], 0)</f>
        <v>0</v>
      </c>
      <c r="N26">
        <f>IF(Finance_Data[[#This Row],[Indicator]]="Expense", Finance_Data[[#This Row],[Amount]], 0)</f>
        <v>1000</v>
      </c>
      <c r="O26">
        <f>Finance_Data[[#This Row],[ Income]]-Finance_Data[[#This Row],[Expenses]]</f>
        <v>-1000</v>
      </c>
      <c r="P26">
        <f>IFERROR(Finance_Data[[#This Row],[Savings]]/Finance_Data[[#This Row],[ Income]],0)</f>
        <v>0</v>
      </c>
    </row>
    <row r="27" spans="1:16" x14ac:dyDescent="0.3">
      <c r="A27" s="1">
        <v>45683</v>
      </c>
      <c r="B27" t="s">
        <v>12</v>
      </c>
      <c r="C27" t="s">
        <v>51</v>
      </c>
      <c r="D27" t="s">
        <v>26</v>
      </c>
      <c r="E27" t="s">
        <v>20</v>
      </c>
      <c r="F27" t="s">
        <v>27</v>
      </c>
      <c r="G27">
        <v>1600</v>
      </c>
      <c r="H27" t="s">
        <v>18</v>
      </c>
      <c r="I27">
        <v>0</v>
      </c>
      <c r="J27">
        <v>5000</v>
      </c>
      <c r="K27">
        <v>3400</v>
      </c>
      <c r="L27" t="s">
        <v>28</v>
      </c>
      <c r="M27">
        <f>IF(Finance_Data[[#This Row],[Indicator]]="Income", Finance_Data[[#This Row],[Amount]], 0)</f>
        <v>0</v>
      </c>
      <c r="N27">
        <f>IF(Finance_Data[[#This Row],[Indicator]]="Expense", Finance_Data[[#This Row],[Amount]], 0)</f>
        <v>1600</v>
      </c>
      <c r="O27">
        <f>Finance_Data[[#This Row],[ Income]]-Finance_Data[[#This Row],[Expenses]]</f>
        <v>-1600</v>
      </c>
      <c r="P27">
        <f>IFERROR(Finance_Data[[#This Row],[Savings]]/Finance_Data[[#This Row],[ Income]],0)</f>
        <v>0</v>
      </c>
    </row>
    <row r="28" spans="1:16" x14ac:dyDescent="0.3">
      <c r="A28" s="1">
        <v>45684</v>
      </c>
      <c r="B28" t="s">
        <v>12</v>
      </c>
      <c r="C28" t="s">
        <v>51</v>
      </c>
      <c r="D28" t="s">
        <v>24</v>
      </c>
      <c r="E28" t="s">
        <v>20</v>
      </c>
      <c r="F28" t="s">
        <v>21</v>
      </c>
      <c r="G28">
        <v>300</v>
      </c>
      <c r="H28" t="s">
        <v>18</v>
      </c>
      <c r="I28">
        <v>0</v>
      </c>
      <c r="J28">
        <v>3000</v>
      </c>
      <c r="K28">
        <v>1400</v>
      </c>
      <c r="L28" t="s">
        <v>34</v>
      </c>
      <c r="M28">
        <f>IF(Finance_Data[[#This Row],[Indicator]]="Income", Finance_Data[[#This Row],[Amount]], 0)</f>
        <v>0</v>
      </c>
      <c r="N28">
        <f>IF(Finance_Data[[#This Row],[Indicator]]="Expense", Finance_Data[[#This Row],[Amount]], 0)</f>
        <v>300</v>
      </c>
      <c r="O28">
        <f>Finance_Data[[#This Row],[ Income]]-Finance_Data[[#This Row],[Expenses]]</f>
        <v>-300</v>
      </c>
      <c r="P28">
        <f>IFERROR(Finance_Data[[#This Row],[Savings]]/Finance_Data[[#This Row],[ Income]],0)</f>
        <v>0</v>
      </c>
    </row>
    <row r="29" spans="1:16" x14ac:dyDescent="0.3">
      <c r="A29" s="1">
        <v>45685</v>
      </c>
      <c r="B29" t="s">
        <v>12</v>
      </c>
      <c r="C29" t="s">
        <v>51</v>
      </c>
      <c r="D29" t="s">
        <v>19</v>
      </c>
      <c r="E29" t="s">
        <v>20</v>
      </c>
      <c r="F29" t="s">
        <v>21</v>
      </c>
      <c r="G29">
        <v>600</v>
      </c>
      <c r="H29" t="s">
        <v>18</v>
      </c>
      <c r="I29">
        <v>0</v>
      </c>
      <c r="J29">
        <v>8000</v>
      </c>
      <c r="K29">
        <v>3250</v>
      </c>
      <c r="L29" t="s">
        <v>31</v>
      </c>
      <c r="M29">
        <f>IF(Finance_Data[[#This Row],[Indicator]]="Income", Finance_Data[[#This Row],[Amount]], 0)</f>
        <v>0</v>
      </c>
      <c r="N29">
        <f>IF(Finance_Data[[#This Row],[Indicator]]="Expense", Finance_Data[[#This Row],[Amount]], 0)</f>
        <v>600</v>
      </c>
      <c r="O29">
        <f>Finance_Data[[#This Row],[ Income]]-Finance_Data[[#This Row],[Expenses]]</f>
        <v>-600</v>
      </c>
      <c r="P29">
        <f>IFERROR(Finance_Data[[#This Row],[Savings]]/Finance_Data[[#This Row],[ Income]],0)</f>
        <v>0</v>
      </c>
    </row>
    <row r="30" spans="1:16" x14ac:dyDescent="0.3">
      <c r="A30" s="1">
        <v>45686</v>
      </c>
      <c r="B30" t="s">
        <v>12</v>
      </c>
      <c r="C30" t="s">
        <v>51</v>
      </c>
      <c r="D30" t="s">
        <v>26</v>
      </c>
      <c r="E30" t="s">
        <v>20</v>
      </c>
      <c r="F30" t="s">
        <v>27</v>
      </c>
      <c r="G30">
        <v>2000</v>
      </c>
      <c r="H30" t="s">
        <v>18</v>
      </c>
      <c r="I30">
        <v>0</v>
      </c>
      <c r="J30">
        <v>5000</v>
      </c>
      <c r="K30">
        <v>3000</v>
      </c>
      <c r="L30" t="s">
        <v>36</v>
      </c>
      <c r="M30">
        <f>IF(Finance_Data[[#This Row],[Indicator]]="Income", Finance_Data[[#This Row],[Amount]], 0)</f>
        <v>0</v>
      </c>
      <c r="N30">
        <f>IF(Finance_Data[[#This Row],[Indicator]]="Expense", Finance_Data[[#This Row],[Amount]], 0)</f>
        <v>2000</v>
      </c>
      <c r="O30">
        <f>Finance_Data[[#This Row],[ Income]]-Finance_Data[[#This Row],[Expenses]]</f>
        <v>-2000</v>
      </c>
      <c r="P30">
        <f>IFERROR(Finance_Data[[#This Row],[Savings]]/Finance_Data[[#This Row],[ Income]],0)</f>
        <v>0</v>
      </c>
    </row>
    <row r="31" spans="1:16" x14ac:dyDescent="0.3">
      <c r="A31" s="1">
        <v>45687</v>
      </c>
      <c r="B31" t="s">
        <v>12</v>
      </c>
      <c r="C31" t="s">
        <v>51</v>
      </c>
      <c r="D31" t="s">
        <v>24</v>
      </c>
      <c r="E31" t="s">
        <v>20</v>
      </c>
      <c r="F31" t="s">
        <v>21</v>
      </c>
      <c r="G31">
        <v>350</v>
      </c>
      <c r="H31" t="s">
        <v>18</v>
      </c>
      <c r="I31">
        <v>0</v>
      </c>
      <c r="J31">
        <v>3000</v>
      </c>
      <c r="K31">
        <v>1050</v>
      </c>
      <c r="L31" t="s">
        <v>25</v>
      </c>
      <c r="M31">
        <f>IF(Finance_Data[[#This Row],[Indicator]]="Income", Finance_Data[[#This Row],[Amount]], 0)</f>
        <v>0</v>
      </c>
      <c r="N31">
        <f>IF(Finance_Data[[#This Row],[Indicator]]="Expense", Finance_Data[[#This Row],[Amount]], 0)</f>
        <v>350</v>
      </c>
      <c r="O31">
        <f>Finance_Data[[#This Row],[ Income]]-Finance_Data[[#This Row],[Expenses]]</f>
        <v>-350</v>
      </c>
      <c r="P31">
        <f>IFERROR(Finance_Data[[#This Row],[Savings]]/Finance_Data[[#This Row],[ Income]],0)</f>
        <v>0</v>
      </c>
    </row>
    <row r="32" spans="1:16" x14ac:dyDescent="0.3">
      <c r="A32" s="1">
        <v>45689</v>
      </c>
      <c r="B32" t="s">
        <v>43</v>
      </c>
      <c r="C32" t="s">
        <v>13</v>
      </c>
      <c r="D32" t="s">
        <v>13</v>
      </c>
      <c r="E32" t="s">
        <v>14</v>
      </c>
      <c r="F32" t="s">
        <v>15</v>
      </c>
      <c r="G32">
        <v>50000</v>
      </c>
      <c r="H32" t="s">
        <v>16</v>
      </c>
      <c r="I32">
        <v>50000</v>
      </c>
      <c r="J32">
        <v>0</v>
      </c>
      <c r="K32">
        <v>0</v>
      </c>
      <c r="L32" t="s">
        <v>45</v>
      </c>
      <c r="M32">
        <f>IF(Finance_Data[[#This Row],[Indicator]]="Income", Finance_Data[[#This Row],[Amount]], 0)</f>
        <v>50000</v>
      </c>
      <c r="N32">
        <f>IF(Finance_Data[[#This Row],[Indicator]]="Expense", Finance_Data[[#This Row],[Amount]], 0)</f>
        <v>0</v>
      </c>
      <c r="O32">
        <f>Finance_Data[[#This Row],[ Income]]-Finance_Data[[#This Row],[Expenses]]</f>
        <v>50000</v>
      </c>
      <c r="P32">
        <f>IFERROR(Finance_Data[[#This Row],[Savings]]/Finance_Data[[#This Row],[ Income]],0)</f>
        <v>1</v>
      </c>
    </row>
    <row r="33" spans="1:16" x14ac:dyDescent="0.3">
      <c r="A33" s="1">
        <v>45690</v>
      </c>
      <c r="B33" t="s">
        <v>43</v>
      </c>
      <c r="C33" t="s">
        <v>51</v>
      </c>
      <c r="D33" t="s">
        <v>17</v>
      </c>
      <c r="E33" t="s">
        <v>14</v>
      </c>
      <c r="F33" t="s">
        <v>15</v>
      </c>
      <c r="G33">
        <v>15000</v>
      </c>
      <c r="H33" t="s">
        <v>18</v>
      </c>
      <c r="I33">
        <v>0</v>
      </c>
      <c r="J33">
        <v>15000</v>
      </c>
      <c r="K33">
        <v>0</v>
      </c>
      <c r="L33" t="s">
        <v>17</v>
      </c>
      <c r="M33">
        <f>IF(Finance_Data[[#This Row],[Indicator]]="Income", Finance_Data[[#This Row],[Amount]], 0)</f>
        <v>0</v>
      </c>
      <c r="N33">
        <f>IF(Finance_Data[[#This Row],[Indicator]]="Expense", Finance_Data[[#This Row],[Amount]], 0)</f>
        <v>15000</v>
      </c>
      <c r="O33">
        <f>Finance_Data[[#This Row],[ Income]]-Finance_Data[[#This Row],[Expenses]]</f>
        <v>-15000</v>
      </c>
      <c r="P33">
        <f>IFERROR(Finance_Data[[#This Row],[Savings]]/Finance_Data[[#This Row],[ Income]],0)</f>
        <v>0</v>
      </c>
    </row>
    <row r="34" spans="1:16" x14ac:dyDescent="0.3">
      <c r="A34" s="1">
        <v>45691</v>
      </c>
      <c r="B34" t="s">
        <v>43</v>
      </c>
      <c r="C34" t="s">
        <v>51</v>
      </c>
      <c r="D34" t="s">
        <v>19</v>
      </c>
      <c r="E34" t="s">
        <v>20</v>
      </c>
      <c r="F34" t="s">
        <v>21</v>
      </c>
      <c r="G34">
        <v>600</v>
      </c>
      <c r="H34" t="s">
        <v>18</v>
      </c>
      <c r="I34">
        <v>0</v>
      </c>
      <c r="J34">
        <v>8000</v>
      </c>
      <c r="K34">
        <v>7400</v>
      </c>
      <c r="L34" t="s">
        <v>22</v>
      </c>
      <c r="M34">
        <f>IF(Finance_Data[[#This Row],[Indicator]]="Income", Finance_Data[[#This Row],[Amount]], 0)</f>
        <v>0</v>
      </c>
      <c r="N34">
        <f>IF(Finance_Data[[#This Row],[Indicator]]="Expense", Finance_Data[[#This Row],[Amount]], 0)</f>
        <v>600</v>
      </c>
      <c r="O34">
        <f>Finance_Data[[#This Row],[ Income]]-Finance_Data[[#This Row],[Expenses]]</f>
        <v>-600</v>
      </c>
      <c r="P34">
        <f>IFERROR(Finance_Data[[#This Row],[Savings]]/Finance_Data[[#This Row],[ Income]],0)</f>
        <v>0</v>
      </c>
    </row>
    <row r="35" spans="1:16" x14ac:dyDescent="0.3">
      <c r="A35" s="1">
        <v>45692</v>
      </c>
      <c r="B35" t="s">
        <v>43</v>
      </c>
      <c r="C35" t="s">
        <v>23</v>
      </c>
      <c r="D35" t="s">
        <v>23</v>
      </c>
      <c r="E35" t="s">
        <v>20</v>
      </c>
      <c r="F35" t="s">
        <v>21</v>
      </c>
      <c r="G35">
        <v>7000</v>
      </c>
      <c r="H35" t="s">
        <v>16</v>
      </c>
      <c r="I35">
        <v>7000</v>
      </c>
      <c r="J35">
        <v>0</v>
      </c>
      <c r="K35">
        <v>0</v>
      </c>
      <c r="L35" t="s">
        <v>44</v>
      </c>
      <c r="M35">
        <f>IF(Finance_Data[[#This Row],[Indicator]]="Income", Finance_Data[[#This Row],[Amount]], 0)</f>
        <v>7000</v>
      </c>
      <c r="N35">
        <f>IF(Finance_Data[[#This Row],[Indicator]]="Expense", Finance_Data[[#This Row],[Amount]], 0)</f>
        <v>0</v>
      </c>
      <c r="O35">
        <f>Finance_Data[[#This Row],[ Income]]-Finance_Data[[#This Row],[Expenses]]</f>
        <v>7000</v>
      </c>
      <c r="P35">
        <f>IFERROR(Finance_Data[[#This Row],[Savings]]/Finance_Data[[#This Row],[ Income]],0)</f>
        <v>1</v>
      </c>
    </row>
    <row r="36" spans="1:16" x14ac:dyDescent="0.3">
      <c r="A36" s="1">
        <v>45693</v>
      </c>
      <c r="B36" t="s">
        <v>43</v>
      </c>
      <c r="C36" t="s">
        <v>51</v>
      </c>
      <c r="D36" t="s">
        <v>24</v>
      </c>
      <c r="E36" t="s">
        <v>20</v>
      </c>
      <c r="F36" t="s">
        <v>21</v>
      </c>
      <c r="G36">
        <v>300</v>
      </c>
      <c r="H36" t="s">
        <v>18</v>
      </c>
      <c r="I36">
        <v>0</v>
      </c>
      <c r="J36">
        <v>3000</v>
      </c>
      <c r="K36">
        <v>2700</v>
      </c>
      <c r="L36" t="s">
        <v>25</v>
      </c>
      <c r="M36">
        <f>IF(Finance_Data[[#This Row],[Indicator]]="Income", Finance_Data[[#This Row],[Amount]], 0)</f>
        <v>0</v>
      </c>
      <c r="N36">
        <f>IF(Finance_Data[[#This Row],[Indicator]]="Expense", Finance_Data[[#This Row],[Amount]], 0)</f>
        <v>300</v>
      </c>
      <c r="O36">
        <f>Finance_Data[[#This Row],[ Income]]-Finance_Data[[#This Row],[Expenses]]</f>
        <v>-300</v>
      </c>
      <c r="P36">
        <f>IFERROR(Finance_Data[[#This Row],[Savings]]/Finance_Data[[#This Row],[ Income]],0)</f>
        <v>0</v>
      </c>
    </row>
    <row r="37" spans="1:16" x14ac:dyDescent="0.3">
      <c r="A37" s="1">
        <v>45694</v>
      </c>
      <c r="B37" t="s">
        <v>43</v>
      </c>
      <c r="C37" t="s">
        <v>51</v>
      </c>
      <c r="D37" t="s">
        <v>26</v>
      </c>
      <c r="E37" t="s">
        <v>20</v>
      </c>
      <c r="F37" t="s">
        <v>27</v>
      </c>
      <c r="G37">
        <v>2500</v>
      </c>
      <c r="H37" t="s">
        <v>18</v>
      </c>
      <c r="I37">
        <v>0</v>
      </c>
      <c r="J37">
        <v>5000</v>
      </c>
      <c r="K37">
        <v>2500</v>
      </c>
      <c r="L37" t="s">
        <v>28</v>
      </c>
      <c r="M37">
        <f>IF(Finance_Data[[#This Row],[Indicator]]="Income", Finance_Data[[#This Row],[Amount]], 0)</f>
        <v>0</v>
      </c>
      <c r="N37">
        <f>IF(Finance_Data[[#This Row],[Indicator]]="Expense", Finance_Data[[#This Row],[Amount]], 0)</f>
        <v>2500</v>
      </c>
      <c r="O37">
        <f>Finance_Data[[#This Row],[ Income]]-Finance_Data[[#This Row],[Expenses]]</f>
        <v>-2500</v>
      </c>
      <c r="P37">
        <f>IFERROR(Finance_Data[[#This Row],[Savings]]/Finance_Data[[#This Row],[ Income]],0)</f>
        <v>0</v>
      </c>
    </row>
    <row r="38" spans="1:16" x14ac:dyDescent="0.3">
      <c r="A38" s="1">
        <v>45695</v>
      </c>
      <c r="B38" t="s">
        <v>43</v>
      </c>
      <c r="C38" t="s">
        <v>51</v>
      </c>
      <c r="D38" t="s">
        <v>29</v>
      </c>
      <c r="E38" t="s">
        <v>14</v>
      </c>
      <c r="F38" t="s">
        <v>15</v>
      </c>
      <c r="G38">
        <v>1400</v>
      </c>
      <c r="H38" t="s">
        <v>18</v>
      </c>
      <c r="I38">
        <v>0</v>
      </c>
      <c r="J38">
        <v>2000</v>
      </c>
      <c r="K38">
        <v>600</v>
      </c>
      <c r="L38" t="s">
        <v>30</v>
      </c>
      <c r="M38">
        <f>IF(Finance_Data[[#This Row],[Indicator]]="Income", Finance_Data[[#This Row],[Amount]], 0)</f>
        <v>0</v>
      </c>
      <c r="N38">
        <f>IF(Finance_Data[[#This Row],[Indicator]]="Expense", Finance_Data[[#This Row],[Amount]], 0)</f>
        <v>1400</v>
      </c>
      <c r="O38">
        <f>Finance_Data[[#This Row],[ Income]]-Finance_Data[[#This Row],[Expenses]]</f>
        <v>-1400</v>
      </c>
      <c r="P38">
        <f>IFERROR(Finance_Data[[#This Row],[Savings]]/Finance_Data[[#This Row],[ Income]],0)</f>
        <v>0</v>
      </c>
    </row>
    <row r="39" spans="1:16" x14ac:dyDescent="0.3">
      <c r="A39" s="1">
        <v>45696</v>
      </c>
      <c r="B39" t="s">
        <v>43</v>
      </c>
      <c r="C39" t="s">
        <v>51</v>
      </c>
      <c r="D39" t="s">
        <v>19</v>
      </c>
      <c r="E39" t="s">
        <v>20</v>
      </c>
      <c r="F39" t="s">
        <v>21</v>
      </c>
      <c r="G39">
        <v>650</v>
      </c>
      <c r="H39" t="s">
        <v>18</v>
      </c>
      <c r="I39">
        <v>0</v>
      </c>
      <c r="J39">
        <v>8000</v>
      </c>
      <c r="K39">
        <v>6750</v>
      </c>
      <c r="L39" t="s">
        <v>31</v>
      </c>
      <c r="M39">
        <f>IF(Finance_Data[[#This Row],[Indicator]]="Income", Finance_Data[[#This Row],[Amount]], 0)</f>
        <v>0</v>
      </c>
      <c r="N39">
        <f>IF(Finance_Data[[#This Row],[Indicator]]="Expense", Finance_Data[[#This Row],[Amount]], 0)</f>
        <v>650</v>
      </c>
      <c r="O39">
        <f>Finance_Data[[#This Row],[ Income]]-Finance_Data[[#This Row],[Expenses]]</f>
        <v>-650</v>
      </c>
      <c r="P39">
        <f>IFERROR(Finance_Data[[#This Row],[Savings]]/Finance_Data[[#This Row],[ Income]],0)</f>
        <v>0</v>
      </c>
    </row>
    <row r="40" spans="1:16" x14ac:dyDescent="0.3">
      <c r="A40" s="1">
        <v>45697</v>
      </c>
      <c r="B40" t="s">
        <v>43</v>
      </c>
      <c r="C40" t="s">
        <v>51</v>
      </c>
      <c r="D40" t="s">
        <v>32</v>
      </c>
      <c r="E40" t="s">
        <v>14</v>
      </c>
      <c r="F40" t="s">
        <v>15</v>
      </c>
      <c r="G40">
        <v>5000</v>
      </c>
      <c r="H40" t="s">
        <v>18</v>
      </c>
      <c r="I40">
        <v>0</v>
      </c>
      <c r="J40">
        <v>5000</v>
      </c>
      <c r="K40">
        <v>0</v>
      </c>
      <c r="L40" t="s">
        <v>33</v>
      </c>
      <c r="M40">
        <f>IF(Finance_Data[[#This Row],[Indicator]]="Income", Finance_Data[[#This Row],[Amount]], 0)</f>
        <v>0</v>
      </c>
      <c r="N40">
        <f>IF(Finance_Data[[#This Row],[Indicator]]="Expense", Finance_Data[[#This Row],[Amount]], 0)</f>
        <v>5000</v>
      </c>
      <c r="O40">
        <f>Finance_Data[[#This Row],[ Income]]-Finance_Data[[#This Row],[Expenses]]</f>
        <v>-5000</v>
      </c>
      <c r="P40">
        <f>IFERROR(Finance_Data[[#This Row],[Savings]]/Finance_Data[[#This Row],[ Income]],0)</f>
        <v>0</v>
      </c>
    </row>
    <row r="41" spans="1:16" x14ac:dyDescent="0.3">
      <c r="A41" s="1">
        <v>45698</v>
      </c>
      <c r="B41" t="s">
        <v>43</v>
      </c>
      <c r="C41" t="s">
        <v>51</v>
      </c>
      <c r="D41" t="s">
        <v>24</v>
      </c>
      <c r="E41" t="s">
        <v>20</v>
      </c>
      <c r="F41" t="s">
        <v>21</v>
      </c>
      <c r="G41">
        <v>400</v>
      </c>
      <c r="H41" t="s">
        <v>18</v>
      </c>
      <c r="I41">
        <v>0</v>
      </c>
      <c r="J41">
        <v>3000</v>
      </c>
      <c r="K41">
        <v>2300</v>
      </c>
      <c r="L41" t="s">
        <v>34</v>
      </c>
      <c r="M41">
        <f>IF(Finance_Data[[#This Row],[Indicator]]="Income", Finance_Data[[#This Row],[Amount]], 0)</f>
        <v>0</v>
      </c>
      <c r="N41">
        <f>IF(Finance_Data[[#This Row],[Indicator]]="Expense", Finance_Data[[#This Row],[Amount]], 0)</f>
        <v>400</v>
      </c>
      <c r="O41">
        <f>Finance_Data[[#This Row],[ Income]]-Finance_Data[[#This Row],[Expenses]]</f>
        <v>-400</v>
      </c>
      <c r="P41">
        <f>IFERROR(Finance_Data[[#This Row],[Savings]]/Finance_Data[[#This Row],[ Income]],0)</f>
        <v>0</v>
      </c>
    </row>
    <row r="42" spans="1:16" x14ac:dyDescent="0.3">
      <c r="A42" s="1">
        <v>45699</v>
      </c>
      <c r="B42" t="s">
        <v>43</v>
      </c>
      <c r="C42" t="s">
        <v>51</v>
      </c>
      <c r="D42" t="s">
        <v>19</v>
      </c>
      <c r="E42" t="s">
        <v>20</v>
      </c>
      <c r="F42" t="s">
        <v>21</v>
      </c>
      <c r="G42">
        <v>700</v>
      </c>
      <c r="H42" t="s">
        <v>18</v>
      </c>
      <c r="I42">
        <v>0</v>
      </c>
      <c r="J42">
        <v>8000</v>
      </c>
      <c r="K42">
        <v>6050</v>
      </c>
      <c r="L42" t="s">
        <v>35</v>
      </c>
      <c r="M42">
        <f>IF(Finance_Data[[#This Row],[Indicator]]="Income", Finance_Data[[#This Row],[Amount]], 0)</f>
        <v>0</v>
      </c>
      <c r="N42">
        <f>IF(Finance_Data[[#This Row],[Indicator]]="Expense", Finance_Data[[#This Row],[Amount]], 0)</f>
        <v>700</v>
      </c>
      <c r="O42">
        <f>Finance_Data[[#This Row],[ Income]]-Finance_Data[[#This Row],[Expenses]]</f>
        <v>-700</v>
      </c>
      <c r="P42">
        <f>IFERROR(Finance_Data[[#This Row],[Savings]]/Finance_Data[[#This Row],[ Income]],0)</f>
        <v>0</v>
      </c>
    </row>
    <row r="43" spans="1:16" x14ac:dyDescent="0.3">
      <c r="A43" s="1">
        <v>45700</v>
      </c>
      <c r="B43" t="s">
        <v>43</v>
      </c>
      <c r="C43" t="s">
        <v>51</v>
      </c>
      <c r="D43" t="s">
        <v>26</v>
      </c>
      <c r="E43" t="s">
        <v>20</v>
      </c>
      <c r="F43" t="s">
        <v>27</v>
      </c>
      <c r="G43">
        <v>1800</v>
      </c>
      <c r="H43" t="s">
        <v>18</v>
      </c>
      <c r="I43">
        <v>0</v>
      </c>
      <c r="J43">
        <v>5000</v>
      </c>
      <c r="K43">
        <v>3200</v>
      </c>
      <c r="L43" t="s">
        <v>36</v>
      </c>
      <c r="M43">
        <f>IF(Finance_Data[[#This Row],[Indicator]]="Income", Finance_Data[[#This Row],[Amount]], 0)</f>
        <v>0</v>
      </c>
      <c r="N43">
        <f>IF(Finance_Data[[#This Row],[Indicator]]="Expense", Finance_Data[[#This Row],[Amount]], 0)</f>
        <v>1800</v>
      </c>
      <c r="O43">
        <f>Finance_Data[[#This Row],[ Income]]-Finance_Data[[#This Row],[Expenses]]</f>
        <v>-1800</v>
      </c>
      <c r="P43">
        <f>IFERROR(Finance_Data[[#This Row],[Savings]]/Finance_Data[[#This Row],[ Income]],0)</f>
        <v>0</v>
      </c>
    </row>
    <row r="44" spans="1:16" x14ac:dyDescent="0.3">
      <c r="A44" s="1">
        <v>45701</v>
      </c>
      <c r="B44" t="s">
        <v>43</v>
      </c>
      <c r="C44" t="s">
        <v>51</v>
      </c>
      <c r="D44" t="s">
        <v>29</v>
      </c>
      <c r="E44" t="s">
        <v>14</v>
      </c>
      <c r="F44" t="s">
        <v>15</v>
      </c>
      <c r="G44">
        <v>1200</v>
      </c>
      <c r="H44" t="s">
        <v>18</v>
      </c>
      <c r="I44">
        <v>0</v>
      </c>
      <c r="J44">
        <v>2000</v>
      </c>
      <c r="K44">
        <v>800</v>
      </c>
      <c r="L44" t="s">
        <v>37</v>
      </c>
      <c r="M44">
        <f>IF(Finance_Data[[#This Row],[Indicator]]="Income", Finance_Data[[#This Row],[Amount]], 0)</f>
        <v>0</v>
      </c>
      <c r="N44">
        <f>IF(Finance_Data[[#This Row],[Indicator]]="Expense", Finance_Data[[#This Row],[Amount]], 0)</f>
        <v>1200</v>
      </c>
      <c r="O44">
        <f>Finance_Data[[#This Row],[ Income]]-Finance_Data[[#This Row],[Expenses]]</f>
        <v>-1200</v>
      </c>
      <c r="P44">
        <f>IFERROR(Finance_Data[[#This Row],[Savings]]/Finance_Data[[#This Row],[ Income]],0)</f>
        <v>0</v>
      </c>
    </row>
    <row r="45" spans="1:16" x14ac:dyDescent="0.3">
      <c r="A45" s="1">
        <v>45702</v>
      </c>
      <c r="B45" t="s">
        <v>43</v>
      </c>
      <c r="C45" t="s">
        <v>51</v>
      </c>
      <c r="D45" t="s">
        <v>19</v>
      </c>
      <c r="E45" t="s">
        <v>20</v>
      </c>
      <c r="F45" t="s">
        <v>21</v>
      </c>
      <c r="G45">
        <v>500</v>
      </c>
      <c r="H45" t="s">
        <v>18</v>
      </c>
      <c r="I45">
        <v>0</v>
      </c>
      <c r="J45">
        <v>8000</v>
      </c>
      <c r="K45">
        <v>5550</v>
      </c>
      <c r="L45" t="s">
        <v>38</v>
      </c>
      <c r="M45">
        <f>IF(Finance_Data[[#This Row],[Indicator]]="Income", Finance_Data[[#This Row],[Amount]], 0)</f>
        <v>0</v>
      </c>
      <c r="N45">
        <f>IF(Finance_Data[[#This Row],[Indicator]]="Expense", Finance_Data[[#This Row],[Amount]], 0)</f>
        <v>500</v>
      </c>
      <c r="O45">
        <f>Finance_Data[[#This Row],[ Income]]-Finance_Data[[#This Row],[Expenses]]</f>
        <v>-500</v>
      </c>
      <c r="P45">
        <f>IFERROR(Finance_Data[[#This Row],[Savings]]/Finance_Data[[#This Row],[ Income]],0)</f>
        <v>0</v>
      </c>
    </row>
    <row r="46" spans="1:16" x14ac:dyDescent="0.3">
      <c r="A46" s="1">
        <v>45703</v>
      </c>
      <c r="B46" t="s">
        <v>43</v>
      </c>
      <c r="C46" t="s">
        <v>51</v>
      </c>
      <c r="D46" t="s">
        <v>24</v>
      </c>
      <c r="E46" t="s">
        <v>20</v>
      </c>
      <c r="F46" t="s">
        <v>21</v>
      </c>
      <c r="G46">
        <v>350</v>
      </c>
      <c r="H46" t="s">
        <v>18</v>
      </c>
      <c r="I46">
        <v>0</v>
      </c>
      <c r="J46">
        <v>3000</v>
      </c>
      <c r="K46">
        <v>1950</v>
      </c>
      <c r="L46" t="s">
        <v>25</v>
      </c>
      <c r="M46">
        <f>IF(Finance_Data[[#This Row],[Indicator]]="Income", Finance_Data[[#This Row],[Amount]], 0)</f>
        <v>0</v>
      </c>
      <c r="N46">
        <f>IF(Finance_Data[[#This Row],[Indicator]]="Expense", Finance_Data[[#This Row],[Amount]], 0)</f>
        <v>350</v>
      </c>
      <c r="O46">
        <f>Finance_Data[[#This Row],[ Income]]-Finance_Data[[#This Row],[Expenses]]</f>
        <v>-350</v>
      </c>
      <c r="P46">
        <f>IFERROR(Finance_Data[[#This Row],[Savings]]/Finance_Data[[#This Row],[ Income]],0)</f>
        <v>0</v>
      </c>
    </row>
    <row r="47" spans="1:16" x14ac:dyDescent="0.3">
      <c r="A47" s="1">
        <v>45704</v>
      </c>
      <c r="B47" t="s">
        <v>43</v>
      </c>
      <c r="C47" t="s">
        <v>23</v>
      </c>
      <c r="D47" t="s">
        <v>23</v>
      </c>
      <c r="E47" t="s">
        <v>20</v>
      </c>
      <c r="F47" t="s">
        <v>21</v>
      </c>
      <c r="G47">
        <v>5000</v>
      </c>
      <c r="H47" t="s">
        <v>16</v>
      </c>
      <c r="I47">
        <v>5000</v>
      </c>
      <c r="J47">
        <v>0</v>
      </c>
      <c r="K47">
        <v>0</v>
      </c>
      <c r="L47" t="s">
        <v>50</v>
      </c>
      <c r="M47">
        <f>IF(Finance_Data[[#This Row],[Indicator]]="Income", Finance_Data[[#This Row],[Amount]], 0)</f>
        <v>5000</v>
      </c>
      <c r="N47">
        <f>IF(Finance_Data[[#This Row],[Indicator]]="Expense", Finance_Data[[#This Row],[Amount]], 0)</f>
        <v>0</v>
      </c>
      <c r="O47">
        <f>Finance_Data[[#This Row],[ Income]]-Finance_Data[[#This Row],[Expenses]]</f>
        <v>5000</v>
      </c>
      <c r="P47">
        <f>IFERROR(Finance_Data[[#This Row],[Savings]]/Finance_Data[[#This Row],[ Income]],0)</f>
        <v>1</v>
      </c>
    </row>
    <row r="48" spans="1:16" x14ac:dyDescent="0.3">
      <c r="A48" s="1">
        <v>45705</v>
      </c>
      <c r="B48" t="s">
        <v>43</v>
      </c>
      <c r="C48" t="s">
        <v>51</v>
      </c>
      <c r="D48" t="s">
        <v>26</v>
      </c>
      <c r="E48" t="s">
        <v>20</v>
      </c>
      <c r="F48" t="s">
        <v>27</v>
      </c>
      <c r="G48">
        <v>2000</v>
      </c>
      <c r="H48" t="s">
        <v>18</v>
      </c>
      <c r="I48">
        <v>0</v>
      </c>
      <c r="J48">
        <v>5000</v>
      </c>
      <c r="K48">
        <v>3000</v>
      </c>
      <c r="L48" t="s">
        <v>39</v>
      </c>
      <c r="M48">
        <f>IF(Finance_Data[[#This Row],[Indicator]]="Income", Finance_Data[[#This Row],[Amount]], 0)</f>
        <v>0</v>
      </c>
      <c r="N48">
        <f>IF(Finance_Data[[#This Row],[Indicator]]="Expense", Finance_Data[[#This Row],[Amount]], 0)</f>
        <v>2000</v>
      </c>
      <c r="O48">
        <f>Finance_Data[[#This Row],[ Income]]-Finance_Data[[#This Row],[Expenses]]</f>
        <v>-2000</v>
      </c>
      <c r="P48">
        <f>IFERROR(Finance_Data[[#This Row],[Savings]]/Finance_Data[[#This Row],[ Income]],0)</f>
        <v>0</v>
      </c>
    </row>
    <row r="49" spans="1:16" x14ac:dyDescent="0.3">
      <c r="A49" s="1">
        <v>45706</v>
      </c>
      <c r="B49" t="s">
        <v>43</v>
      </c>
      <c r="C49" t="s">
        <v>51</v>
      </c>
      <c r="D49" t="s">
        <v>19</v>
      </c>
      <c r="E49" t="s">
        <v>20</v>
      </c>
      <c r="F49" t="s">
        <v>21</v>
      </c>
      <c r="G49">
        <v>650</v>
      </c>
      <c r="H49" t="s">
        <v>18</v>
      </c>
      <c r="I49">
        <v>0</v>
      </c>
      <c r="J49">
        <v>8000</v>
      </c>
      <c r="K49">
        <v>4900</v>
      </c>
      <c r="L49" t="s">
        <v>22</v>
      </c>
      <c r="M49">
        <f>IF(Finance_Data[[#This Row],[Indicator]]="Income", Finance_Data[[#This Row],[Amount]], 0)</f>
        <v>0</v>
      </c>
      <c r="N49">
        <f>IF(Finance_Data[[#This Row],[Indicator]]="Expense", Finance_Data[[#This Row],[Amount]], 0)</f>
        <v>650</v>
      </c>
      <c r="O49">
        <f>Finance_Data[[#This Row],[ Income]]-Finance_Data[[#This Row],[Expenses]]</f>
        <v>-650</v>
      </c>
      <c r="P49">
        <f>IFERROR(Finance_Data[[#This Row],[Savings]]/Finance_Data[[#This Row],[ Income]],0)</f>
        <v>0</v>
      </c>
    </row>
    <row r="50" spans="1:16" x14ac:dyDescent="0.3">
      <c r="A50" s="1">
        <v>45707</v>
      </c>
      <c r="B50" t="s">
        <v>43</v>
      </c>
      <c r="C50" t="s">
        <v>51</v>
      </c>
      <c r="D50" t="s">
        <v>24</v>
      </c>
      <c r="E50" t="s">
        <v>20</v>
      </c>
      <c r="F50" t="s">
        <v>21</v>
      </c>
      <c r="G50">
        <v>300</v>
      </c>
      <c r="H50" t="s">
        <v>18</v>
      </c>
      <c r="I50">
        <v>0</v>
      </c>
      <c r="J50">
        <v>3000</v>
      </c>
      <c r="K50">
        <v>1650</v>
      </c>
      <c r="L50" t="s">
        <v>40</v>
      </c>
      <c r="M50">
        <f>IF(Finance_Data[[#This Row],[Indicator]]="Income", Finance_Data[[#This Row],[Amount]], 0)</f>
        <v>0</v>
      </c>
      <c r="N50">
        <f>IF(Finance_Data[[#This Row],[Indicator]]="Expense", Finance_Data[[#This Row],[Amount]], 0)</f>
        <v>300</v>
      </c>
      <c r="O50">
        <f>Finance_Data[[#This Row],[ Income]]-Finance_Data[[#This Row],[Expenses]]</f>
        <v>-300</v>
      </c>
      <c r="P50">
        <f>IFERROR(Finance_Data[[#This Row],[Savings]]/Finance_Data[[#This Row],[ Income]],0)</f>
        <v>0</v>
      </c>
    </row>
    <row r="51" spans="1:16" x14ac:dyDescent="0.3">
      <c r="A51" s="1">
        <v>45708</v>
      </c>
      <c r="B51" t="s">
        <v>43</v>
      </c>
      <c r="C51" t="s">
        <v>51</v>
      </c>
      <c r="D51" t="s">
        <v>29</v>
      </c>
      <c r="E51" t="s">
        <v>14</v>
      </c>
      <c r="F51" t="s">
        <v>15</v>
      </c>
      <c r="G51">
        <v>900</v>
      </c>
      <c r="H51" t="s">
        <v>18</v>
      </c>
      <c r="I51">
        <v>0</v>
      </c>
      <c r="J51">
        <v>2000</v>
      </c>
      <c r="K51">
        <v>1100</v>
      </c>
      <c r="L51" t="s">
        <v>41</v>
      </c>
      <c r="M51">
        <f>IF(Finance_Data[[#This Row],[Indicator]]="Income", Finance_Data[[#This Row],[Amount]], 0)</f>
        <v>0</v>
      </c>
      <c r="N51">
        <f>IF(Finance_Data[[#This Row],[Indicator]]="Expense", Finance_Data[[#This Row],[Amount]], 0)</f>
        <v>900</v>
      </c>
      <c r="O51">
        <f>Finance_Data[[#This Row],[ Income]]-Finance_Data[[#This Row],[Expenses]]</f>
        <v>-900</v>
      </c>
      <c r="P51">
        <f>IFERROR(Finance_Data[[#This Row],[Savings]]/Finance_Data[[#This Row],[ Income]],0)</f>
        <v>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E26DA-19E7-47E8-9C25-294C3A1060D5}">
  <dimension ref="A1:B5"/>
  <sheetViews>
    <sheetView zoomScale="123" workbookViewId="0">
      <selection activeCell="E9" sqref="E9"/>
    </sheetView>
  </sheetViews>
  <sheetFormatPr defaultRowHeight="14.4" x14ac:dyDescent="0.3"/>
  <cols>
    <col min="1" max="1" width="11.88671875" bestFit="1" customWidth="1"/>
    <col min="2" max="2" width="12.5546875" bestFit="1" customWidth="1"/>
  </cols>
  <sheetData>
    <row r="1" spans="1:2" x14ac:dyDescent="0.3">
      <c r="A1" s="2" t="s">
        <v>52</v>
      </c>
      <c r="B1" s="2" t="s">
        <v>53</v>
      </c>
    </row>
    <row r="2" spans="1:2" x14ac:dyDescent="0.3">
      <c r="A2" s="3" t="s">
        <v>54</v>
      </c>
      <c r="B2" s="11">
        <f>SUMIFS(Finance_Data[Amount], Finance_Data[Indicator], "Income")</f>
        <v>126000</v>
      </c>
    </row>
    <row r="3" spans="1:2" x14ac:dyDescent="0.3">
      <c r="A3" s="3" t="s">
        <v>55</v>
      </c>
      <c r="B3" s="12">
        <f>SUMIFS(Finance_Data[Amount], Finance_Data[Indicator], "Expense")</f>
        <v>76850</v>
      </c>
    </row>
    <row r="4" spans="1:2" x14ac:dyDescent="0.3">
      <c r="A4" s="3" t="s">
        <v>56</v>
      </c>
      <c r="B4" s="12">
        <f>B2 - B3</f>
        <v>49150</v>
      </c>
    </row>
    <row r="5" spans="1:2" x14ac:dyDescent="0.3">
      <c r="A5" s="3" t="s">
        <v>57</v>
      </c>
      <c r="B5" s="10">
        <f>IFERROR(B4/B2,0)</f>
        <v>0.39007936507936508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B73D-1EA1-4C11-94C4-EB4CED5C55F4}">
  <dimension ref="A2:K28"/>
  <sheetViews>
    <sheetView workbookViewId="0">
      <selection activeCell="C26" sqref="C26"/>
    </sheetView>
  </sheetViews>
  <sheetFormatPr defaultRowHeight="14.4" x14ac:dyDescent="0.3"/>
  <cols>
    <col min="1" max="1" width="18.77734375" bestFit="1" customWidth="1"/>
    <col min="2" max="2" width="13.5546875" bestFit="1" customWidth="1"/>
    <col min="10" max="10" width="15.33203125" bestFit="1" customWidth="1"/>
    <col min="11" max="11" width="13.5546875" bestFit="1" customWidth="1"/>
  </cols>
  <sheetData>
    <row r="2" spans="1:11" ht="21" x14ac:dyDescent="0.4">
      <c r="A2" s="7" t="s">
        <v>63</v>
      </c>
      <c r="J2" s="8" t="s">
        <v>64</v>
      </c>
    </row>
    <row r="3" spans="1:11" x14ac:dyDescent="0.3">
      <c r="A3" s="4" t="s">
        <v>7</v>
      </c>
      <c r="B3" t="s">
        <v>59</v>
      </c>
      <c r="J3" s="4" t="s">
        <v>7</v>
      </c>
      <c r="K3" t="s">
        <v>59</v>
      </c>
    </row>
    <row r="5" spans="1:11" x14ac:dyDescent="0.3">
      <c r="A5" s="4" t="s">
        <v>61</v>
      </c>
      <c r="B5" t="s">
        <v>60</v>
      </c>
      <c r="J5" s="4" t="s">
        <v>1</v>
      </c>
      <c r="K5" t="s">
        <v>60</v>
      </c>
    </row>
    <row r="6" spans="1:11" x14ac:dyDescent="0.3">
      <c r="A6" s="5" t="s">
        <v>13</v>
      </c>
      <c r="B6" s="6">
        <v>100000</v>
      </c>
      <c r="J6" s="5" t="s">
        <v>12</v>
      </c>
      <c r="K6" s="6">
        <v>106600</v>
      </c>
    </row>
    <row r="7" spans="1:11" x14ac:dyDescent="0.3">
      <c r="A7" s="5" t="s">
        <v>17</v>
      </c>
      <c r="B7" s="6">
        <v>30000</v>
      </c>
      <c r="J7" s="5" t="s">
        <v>43</v>
      </c>
      <c r="K7" s="6">
        <v>96250</v>
      </c>
    </row>
    <row r="8" spans="1:11" x14ac:dyDescent="0.3">
      <c r="A8" s="5" t="s">
        <v>23</v>
      </c>
      <c r="B8" s="6">
        <v>26000</v>
      </c>
      <c r="J8" s="5" t="s">
        <v>58</v>
      </c>
      <c r="K8" s="6">
        <v>202850</v>
      </c>
    </row>
    <row r="9" spans="1:11" x14ac:dyDescent="0.3">
      <c r="A9" s="5" t="s">
        <v>26</v>
      </c>
      <c r="B9" s="6">
        <v>17400</v>
      </c>
    </row>
    <row r="10" spans="1:11" x14ac:dyDescent="0.3">
      <c r="A10" s="5" t="s">
        <v>32</v>
      </c>
      <c r="B10" s="6">
        <v>10000</v>
      </c>
    </row>
    <row r="11" spans="1:11" x14ac:dyDescent="0.3">
      <c r="A11" s="5" t="s">
        <v>29</v>
      </c>
      <c r="B11" s="6">
        <v>8000</v>
      </c>
    </row>
    <row r="12" spans="1:11" x14ac:dyDescent="0.3">
      <c r="A12" s="5" t="s">
        <v>19</v>
      </c>
      <c r="B12" s="6">
        <v>7850</v>
      </c>
    </row>
    <row r="13" spans="1:11" x14ac:dyDescent="0.3">
      <c r="A13" s="5" t="s">
        <v>24</v>
      </c>
      <c r="B13" s="6">
        <v>3600</v>
      </c>
    </row>
    <row r="14" spans="1:11" x14ac:dyDescent="0.3">
      <c r="A14" s="5" t="s">
        <v>58</v>
      </c>
      <c r="B14" s="6">
        <v>202850</v>
      </c>
    </row>
    <row r="22" spans="1:11" ht="18" x14ac:dyDescent="0.35">
      <c r="A22" s="8" t="s">
        <v>5</v>
      </c>
      <c r="J22" s="8" t="s">
        <v>65</v>
      </c>
    </row>
    <row r="23" spans="1:11" x14ac:dyDescent="0.3">
      <c r="A23" s="4" t="s">
        <v>5</v>
      </c>
      <c r="B23" t="s">
        <v>60</v>
      </c>
      <c r="J23" s="4" t="s">
        <v>7</v>
      </c>
      <c r="K23" t="s">
        <v>59</v>
      </c>
    </row>
    <row r="24" spans="1:11" x14ac:dyDescent="0.3">
      <c r="A24" s="5" t="s">
        <v>15</v>
      </c>
      <c r="B24" s="6">
        <v>148000</v>
      </c>
    </row>
    <row r="25" spans="1:11" x14ac:dyDescent="0.3">
      <c r="A25" s="5" t="s">
        <v>21</v>
      </c>
      <c r="B25" s="6">
        <v>37450</v>
      </c>
      <c r="J25" s="4" t="s">
        <v>62</v>
      </c>
      <c r="K25" t="s">
        <v>60</v>
      </c>
    </row>
    <row r="26" spans="1:11" x14ac:dyDescent="0.3">
      <c r="A26" s="5" t="s">
        <v>27</v>
      </c>
      <c r="B26" s="6">
        <v>17400</v>
      </c>
      <c r="J26" s="5" t="s">
        <v>14</v>
      </c>
      <c r="K26" s="6">
        <v>148000</v>
      </c>
    </row>
    <row r="27" spans="1:11" x14ac:dyDescent="0.3">
      <c r="A27" s="5" t="s">
        <v>58</v>
      </c>
      <c r="B27" s="6">
        <v>202850</v>
      </c>
      <c r="J27" s="5" t="s">
        <v>20</v>
      </c>
      <c r="K27" s="6">
        <v>54850</v>
      </c>
    </row>
    <row r="28" spans="1:11" x14ac:dyDescent="0.3">
      <c r="J28" s="5" t="s">
        <v>58</v>
      </c>
      <c r="K28" s="6">
        <v>202850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7F62-20B1-4CAE-A325-CDB4C334E33C}">
  <dimension ref="A1:V42"/>
  <sheetViews>
    <sheetView showGridLines="0" showRowColHeaders="0" tabSelected="1" topLeftCell="A2" zoomScale="101" zoomScaleNormal="100" workbookViewId="0">
      <selection activeCell="V28" sqref="V28"/>
    </sheetView>
  </sheetViews>
  <sheetFormatPr defaultRowHeight="14.4" x14ac:dyDescent="0.3"/>
  <sheetData>
    <row r="1" spans="1:22" x14ac:dyDescent="0.3">
      <c r="A1" s="9"/>
      <c r="B1" s="9"/>
      <c r="C1" s="9"/>
      <c r="D1" s="9"/>
      <c r="E1" s="9"/>
      <c r="F1" s="9"/>
      <c r="G1" s="9"/>
      <c r="H1" s="9"/>
      <c r="I1" s="9"/>
      <c r="J1" s="9"/>
      <c r="K1" s="9"/>
      <c r="L1" s="9"/>
      <c r="M1" s="9"/>
      <c r="N1" s="9"/>
      <c r="O1" s="9"/>
      <c r="P1" s="9"/>
      <c r="Q1" s="9"/>
      <c r="R1" s="9"/>
      <c r="S1" s="9"/>
      <c r="T1" s="9"/>
      <c r="U1" s="9"/>
      <c r="V1" s="9"/>
    </row>
    <row r="2" spans="1:22" x14ac:dyDescent="0.3">
      <c r="A2" s="9"/>
      <c r="B2" s="9"/>
      <c r="C2" s="9"/>
      <c r="D2" s="9"/>
      <c r="E2" s="9"/>
      <c r="F2" s="9"/>
      <c r="G2" s="9"/>
      <c r="H2" s="9"/>
      <c r="I2" s="9"/>
      <c r="J2" s="9"/>
      <c r="K2" s="9"/>
      <c r="L2" s="9"/>
      <c r="M2" s="9"/>
      <c r="N2" s="9"/>
      <c r="O2" s="9"/>
      <c r="P2" s="9"/>
      <c r="Q2" s="9"/>
      <c r="R2" s="9"/>
      <c r="S2" s="9"/>
      <c r="T2" s="9"/>
      <c r="U2" s="9"/>
      <c r="V2" s="9"/>
    </row>
    <row r="3" spans="1:22" x14ac:dyDescent="0.3">
      <c r="A3" s="9"/>
      <c r="B3" s="9"/>
      <c r="C3" s="9"/>
      <c r="D3" s="9"/>
      <c r="E3" s="9"/>
      <c r="F3" s="9"/>
      <c r="G3" s="9"/>
      <c r="H3" s="9"/>
      <c r="I3" s="9"/>
      <c r="J3" s="9"/>
      <c r="K3" s="9"/>
      <c r="L3" s="9"/>
      <c r="M3" s="9"/>
      <c r="N3" s="9"/>
      <c r="O3" s="9"/>
      <c r="P3" s="9"/>
      <c r="Q3" s="9"/>
      <c r="R3" s="9"/>
      <c r="S3" s="9"/>
      <c r="T3" s="9"/>
      <c r="U3" s="9"/>
      <c r="V3" s="9"/>
    </row>
    <row r="4" spans="1:22" x14ac:dyDescent="0.3">
      <c r="A4" s="9"/>
      <c r="B4" s="9"/>
      <c r="C4" s="9"/>
      <c r="D4" s="9"/>
      <c r="E4" s="9"/>
      <c r="F4" s="9"/>
      <c r="G4" s="9"/>
      <c r="H4" s="9"/>
      <c r="I4" s="9"/>
      <c r="J4" s="9"/>
      <c r="K4" s="9"/>
      <c r="L4" s="9"/>
      <c r="M4" s="9"/>
      <c r="N4" s="9"/>
      <c r="O4" s="9"/>
      <c r="P4" s="9"/>
      <c r="Q4" s="9"/>
      <c r="R4" s="9"/>
      <c r="S4" s="9"/>
      <c r="T4" s="9"/>
      <c r="U4" s="9"/>
      <c r="V4" s="9"/>
    </row>
    <row r="5" spans="1:22" x14ac:dyDescent="0.3">
      <c r="A5" s="9"/>
      <c r="B5" s="9"/>
      <c r="C5" s="9"/>
      <c r="D5" s="9"/>
      <c r="E5" s="9"/>
      <c r="F5" s="9"/>
      <c r="G5" s="9"/>
      <c r="H5" s="9"/>
      <c r="I5" s="9"/>
      <c r="J5" s="9"/>
      <c r="K5" s="9"/>
      <c r="L5" s="9"/>
      <c r="M5" s="9"/>
      <c r="N5" s="9"/>
      <c r="O5" s="9"/>
      <c r="P5" s="9"/>
      <c r="Q5" s="9"/>
      <c r="R5" s="9"/>
      <c r="S5" s="9"/>
      <c r="T5" s="9"/>
      <c r="U5" s="9"/>
      <c r="V5" s="9"/>
    </row>
    <row r="6" spans="1:22" x14ac:dyDescent="0.3">
      <c r="A6" s="9"/>
      <c r="B6" s="9"/>
      <c r="C6" s="9"/>
      <c r="D6" s="9"/>
      <c r="E6" s="9"/>
      <c r="F6" s="9"/>
      <c r="G6" s="9"/>
      <c r="H6" s="9"/>
      <c r="I6" s="9"/>
      <c r="J6" s="9"/>
      <c r="K6" s="9"/>
      <c r="L6" s="9"/>
      <c r="M6" s="9"/>
      <c r="N6" s="9"/>
      <c r="O6" s="9"/>
      <c r="P6" s="9"/>
      <c r="Q6" s="9"/>
      <c r="R6" s="9"/>
      <c r="S6" s="9"/>
      <c r="T6" s="9"/>
      <c r="U6" s="9"/>
      <c r="V6" s="9"/>
    </row>
    <row r="7" spans="1:22" x14ac:dyDescent="0.3">
      <c r="A7" s="9"/>
      <c r="B7" s="9"/>
      <c r="C7" s="9"/>
      <c r="D7" s="9"/>
      <c r="E7" s="9"/>
      <c r="F7" s="9"/>
      <c r="G7" s="9"/>
      <c r="H7" s="9"/>
      <c r="I7" s="9"/>
      <c r="J7" s="9"/>
      <c r="K7" s="9"/>
      <c r="L7" s="9"/>
      <c r="M7" s="9"/>
      <c r="N7" s="9"/>
      <c r="O7" s="9"/>
      <c r="P7" s="9"/>
      <c r="Q7" s="9"/>
      <c r="R7" s="9"/>
      <c r="S7" s="9"/>
      <c r="T7" s="9"/>
      <c r="U7" s="9"/>
      <c r="V7" s="9"/>
    </row>
    <row r="8" spans="1:22" x14ac:dyDescent="0.3">
      <c r="A8" s="9"/>
      <c r="B8" s="9"/>
      <c r="C8" s="9"/>
      <c r="D8" s="9"/>
      <c r="E8" s="9"/>
      <c r="F8" s="9"/>
      <c r="G8" s="9"/>
      <c r="H8" s="9"/>
      <c r="I8" s="9"/>
      <c r="J8" s="9"/>
      <c r="K8" s="9"/>
      <c r="L8" s="9"/>
      <c r="M8" s="9"/>
      <c r="N8" s="9"/>
      <c r="O8" s="9"/>
      <c r="P8" s="9"/>
      <c r="Q8" s="9"/>
      <c r="R8" s="9"/>
      <c r="S8" s="9"/>
      <c r="T8" s="9"/>
      <c r="U8" s="9"/>
      <c r="V8" s="9"/>
    </row>
    <row r="9" spans="1:22" x14ac:dyDescent="0.3">
      <c r="A9" s="9"/>
      <c r="B9" s="9"/>
      <c r="C9" s="9"/>
      <c r="D9" s="9"/>
      <c r="E9" s="9"/>
      <c r="F9" s="9"/>
      <c r="G9" s="9"/>
      <c r="H9" s="9"/>
      <c r="I9" s="9"/>
      <c r="J9" s="9"/>
      <c r="K9" s="9"/>
      <c r="L9" s="9"/>
      <c r="M9" s="9"/>
      <c r="N9" s="9"/>
      <c r="O9" s="9"/>
      <c r="P9" s="9"/>
      <c r="Q9" s="9"/>
      <c r="R9" s="9"/>
      <c r="S9" s="9"/>
      <c r="T9" s="9"/>
      <c r="U9" s="9"/>
      <c r="V9" s="9"/>
    </row>
    <row r="10" spans="1:22" x14ac:dyDescent="0.3">
      <c r="A10" s="9"/>
      <c r="B10" s="9"/>
      <c r="C10" s="9"/>
      <c r="D10" s="9"/>
      <c r="E10" s="9"/>
      <c r="F10" s="9"/>
      <c r="G10" s="9"/>
      <c r="H10" s="9"/>
      <c r="I10" s="9"/>
      <c r="J10" s="9"/>
      <c r="K10" s="9"/>
      <c r="L10" s="9"/>
      <c r="M10" s="9"/>
      <c r="N10" s="9"/>
      <c r="O10" s="9"/>
      <c r="P10" s="9"/>
      <c r="Q10" s="9"/>
      <c r="R10" s="9"/>
      <c r="S10" s="9"/>
      <c r="T10" s="9"/>
      <c r="U10" s="9"/>
      <c r="V10" s="9"/>
    </row>
    <row r="11" spans="1:22" x14ac:dyDescent="0.3">
      <c r="A11" s="9"/>
      <c r="B11" s="9"/>
      <c r="C11" s="9"/>
      <c r="D11" s="9"/>
      <c r="E11" s="9"/>
      <c r="F11" s="9"/>
      <c r="G11" s="9"/>
      <c r="H11" s="9"/>
      <c r="I11" s="9"/>
      <c r="J11" s="9"/>
      <c r="K11" s="9"/>
      <c r="L11" s="9"/>
      <c r="M11" s="9"/>
      <c r="N11" s="9"/>
      <c r="O11" s="9"/>
      <c r="P11" s="9"/>
      <c r="Q11" s="9"/>
      <c r="R11" s="9"/>
      <c r="S11" s="9"/>
      <c r="T11" s="9"/>
      <c r="U11" s="9"/>
      <c r="V11" s="9"/>
    </row>
    <row r="12" spans="1:22" x14ac:dyDescent="0.3">
      <c r="A12" s="9"/>
      <c r="B12" s="9"/>
      <c r="C12" s="9"/>
      <c r="D12" s="9"/>
      <c r="E12" s="9"/>
      <c r="F12" s="9"/>
      <c r="G12" s="9"/>
      <c r="H12" s="9"/>
      <c r="I12" s="9"/>
      <c r="J12" s="9"/>
      <c r="K12" s="9"/>
      <c r="L12" s="9"/>
      <c r="M12" s="9"/>
      <c r="N12" s="9"/>
      <c r="O12" s="9"/>
      <c r="P12" s="9"/>
      <c r="Q12" s="9"/>
      <c r="R12" s="9"/>
      <c r="S12" s="9"/>
      <c r="T12" s="9"/>
      <c r="U12" s="9"/>
      <c r="V12" s="9"/>
    </row>
    <row r="13" spans="1:22" x14ac:dyDescent="0.3">
      <c r="A13" s="9"/>
      <c r="B13" s="9"/>
      <c r="C13" s="9"/>
      <c r="D13" s="9"/>
      <c r="E13" s="9"/>
      <c r="F13" s="9"/>
      <c r="G13" s="9"/>
      <c r="H13" s="9"/>
      <c r="I13" s="9"/>
      <c r="J13" s="9"/>
      <c r="K13" s="9"/>
      <c r="L13" s="9"/>
      <c r="M13" s="9"/>
      <c r="N13" s="9"/>
      <c r="O13" s="9"/>
      <c r="P13" s="9"/>
      <c r="Q13" s="9"/>
      <c r="R13" s="9"/>
      <c r="S13" s="9"/>
      <c r="T13" s="9"/>
      <c r="U13" s="9"/>
      <c r="V13" s="9"/>
    </row>
    <row r="14" spans="1:22" x14ac:dyDescent="0.3">
      <c r="A14" s="9"/>
      <c r="B14" s="9"/>
      <c r="C14" s="9"/>
      <c r="D14" s="9"/>
      <c r="E14" s="9"/>
      <c r="F14" s="9"/>
      <c r="G14" s="9"/>
      <c r="H14" s="9"/>
      <c r="I14" s="9"/>
      <c r="J14" s="9"/>
      <c r="K14" s="9"/>
      <c r="L14" s="9"/>
      <c r="M14" s="9"/>
      <c r="N14" s="9"/>
      <c r="O14" s="9"/>
      <c r="P14" s="9"/>
      <c r="Q14" s="9"/>
      <c r="R14" s="9"/>
      <c r="S14" s="9"/>
      <c r="T14" s="9"/>
      <c r="U14" s="9"/>
      <c r="V14" s="9"/>
    </row>
    <row r="15" spans="1:22" x14ac:dyDescent="0.3">
      <c r="A15" s="9"/>
      <c r="B15" s="9"/>
      <c r="C15" s="9"/>
      <c r="D15" s="9"/>
      <c r="E15" s="9"/>
      <c r="F15" s="9"/>
      <c r="G15" s="9"/>
      <c r="H15" s="9"/>
      <c r="I15" s="9"/>
      <c r="J15" s="9"/>
      <c r="K15" s="9"/>
      <c r="L15" s="9"/>
      <c r="M15" s="9"/>
      <c r="N15" s="9"/>
      <c r="O15" s="9"/>
      <c r="P15" s="9"/>
      <c r="Q15" s="9"/>
      <c r="R15" s="9"/>
      <c r="S15" s="9"/>
      <c r="T15" s="9"/>
      <c r="U15" s="9"/>
      <c r="V15" s="9"/>
    </row>
    <row r="16" spans="1:22" x14ac:dyDescent="0.3">
      <c r="A16" s="9"/>
      <c r="B16" s="9"/>
      <c r="C16" s="9"/>
      <c r="D16" s="9"/>
      <c r="E16" s="9"/>
      <c r="F16" s="9"/>
      <c r="G16" s="9"/>
      <c r="H16" s="9"/>
      <c r="I16" s="9"/>
      <c r="J16" s="9"/>
      <c r="K16" s="9"/>
      <c r="L16" s="9"/>
      <c r="M16" s="9"/>
      <c r="N16" s="9"/>
      <c r="O16" s="9"/>
      <c r="P16" s="9"/>
      <c r="Q16" s="9"/>
      <c r="R16" s="9"/>
      <c r="S16" s="9"/>
      <c r="T16" s="9"/>
      <c r="U16" s="9"/>
      <c r="V16" s="9"/>
    </row>
    <row r="17" spans="1:22" x14ac:dyDescent="0.3">
      <c r="A17" s="9"/>
      <c r="B17" s="9"/>
      <c r="C17" s="9"/>
      <c r="D17" s="9"/>
      <c r="E17" s="9"/>
      <c r="F17" s="9"/>
      <c r="G17" s="9"/>
      <c r="H17" s="9"/>
      <c r="I17" s="9"/>
      <c r="J17" s="9"/>
      <c r="K17" s="9"/>
      <c r="L17" s="9"/>
      <c r="M17" s="9"/>
      <c r="N17" s="9"/>
      <c r="O17" s="9"/>
      <c r="P17" s="9"/>
      <c r="Q17" s="9"/>
      <c r="R17" s="9"/>
      <c r="S17" s="9"/>
      <c r="T17" s="9"/>
      <c r="U17" s="9"/>
      <c r="V17" s="9"/>
    </row>
    <row r="18" spans="1:22" x14ac:dyDescent="0.3">
      <c r="A18" s="9"/>
      <c r="B18" s="9"/>
      <c r="C18" s="9"/>
      <c r="D18" s="9"/>
      <c r="E18" s="9"/>
      <c r="F18" s="9"/>
      <c r="G18" s="9"/>
      <c r="H18" s="9"/>
      <c r="I18" s="9"/>
      <c r="J18" s="9"/>
      <c r="K18" s="9"/>
      <c r="L18" s="9"/>
      <c r="M18" s="9"/>
      <c r="N18" s="9"/>
      <c r="O18" s="9"/>
      <c r="P18" s="9"/>
      <c r="Q18" s="9"/>
      <c r="R18" s="9"/>
      <c r="S18" s="9"/>
      <c r="T18" s="9"/>
      <c r="U18" s="9"/>
      <c r="V18" s="9"/>
    </row>
    <row r="19" spans="1:22" x14ac:dyDescent="0.3">
      <c r="A19" s="9"/>
      <c r="B19" s="9"/>
      <c r="C19" s="9"/>
      <c r="D19" s="9"/>
      <c r="E19" s="9"/>
      <c r="F19" s="9"/>
      <c r="G19" s="9"/>
      <c r="H19" s="9"/>
      <c r="I19" s="9"/>
      <c r="J19" s="9"/>
      <c r="K19" s="9"/>
      <c r="L19" s="9"/>
      <c r="M19" s="9"/>
      <c r="N19" s="9"/>
      <c r="O19" s="9"/>
      <c r="P19" s="9"/>
      <c r="Q19" s="9"/>
      <c r="R19" s="9"/>
      <c r="S19" s="9"/>
      <c r="T19" s="9"/>
      <c r="U19" s="9"/>
      <c r="V19" s="9"/>
    </row>
    <row r="20" spans="1:22" x14ac:dyDescent="0.3">
      <c r="A20" s="9"/>
      <c r="B20" s="9"/>
      <c r="C20" s="9"/>
      <c r="D20" s="9"/>
      <c r="E20" s="9"/>
      <c r="F20" s="9"/>
      <c r="G20" s="9"/>
      <c r="H20" s="9"/>
      <c r="I20" s="9"/>
      <c r="J20" s="9"/>
      <c r="K20" s="9"/>
      <c r="L20" s="9"/>
      <c r="M20" s="9"/>
      <c r="N20" s="9"/>
      <c r="O20" s="9"/>
      <c r="P20" s="9"/>
      <c r="Q20" s="9"/>
      <c r="R20" s="9"/>
      <c r="S20" s="9"/>
      <c r="T20" s="9"/>
      <c r="U20" s="9"/>
      <c r="V20" s="9"/>
    </row>
    <row r="21" spans="1:22" x14ac:dyDescent="0.3">
      <c r="A21" s="9"/>
      <c r="B21" s="9"/>
      <c r="C21" s="9"/>
      <c r="D21" s="9"/>
      <c r="E21" s="9"/>
      <c r="F21" s="9"/>
      <c r="G21" s="9"/>
      <c r="H21" s="9"/>
      <c r="I21" s="9"/>
      <c r="J21" s="9"/>
      <c r="K21" s="9"/>
      <c r="L21" s="9"/>
      <c r="M21" s="9"/>
      <c r="N21" s="9"/>
      <c r="O21" s="9"/>
      <c r="P21" s="9"/>
      <c r="Q21" s="9"/>
      <c r="R21" s="9"/>
      <c r="S21" s="9"/>
      <c r="T21" s="9"/>
      <c r="U21" s="9"/>
      <c r="V21" s="9"/>
    </row>
    <row r="22" spans="1:22" x14ac:dyDescent="0.3">
      <c r="A22" s="9"/>
      <c r="B22" s="9"/>
      <c r="C22" s="9"/>
      <c r="D22" s="9"/>
      <c r="E22" s="9"/>
      <c r="F22" s="9"/>
      <c r="G22" s="9"/>
      <c r="H22" s="9"/>
      <c r="I22" s="9"/>
      <c r="J22" s="9"/>
      <c r="K22" s="9"/>
      <c r="L22" s="9"/>
      <c r="M22" s="9"/>
      <c r="N22" s="9"/>
      <c r="O22" s="9"/>
      <c r="P22" s="9"/>
      <c r="Q22" s="9"/>
      <c r="R22" s="9"/>
      <c r="S22" s="9"/>
      <c r="T22" s="9"/>
      <c r="U22" s="9"/>
      <c r="V22" s="9"/>
    </row>
    <row r="23" spans="1:22" x14ac:dyDescent="0.3">
      <c r="A23" s="9"/>
      <c r="B23" s="9"/>
      <c r="C23" s="9"/>
      <c r="D23" s="9"/>
      <c r="E23" s="9"/>
      <c r="F23" s="9"/>
      <c r="G23" s="9"/>
      <c r="H23" s="9"/>
      <c r="I23" s="9"/>
      <c r="J23" s="9"/>
      <c r="K23" s="9"/>
      <c r="L23" s="9"/>
      <c r="M23" s="9"/>
      <c r="N23" s="9"/>
      <c r="O23" s="9"/>
      <c r="P23" s="9"/>
      <c r="Q23" s="9"/>
      <c r="R23" s="9"/>
      <c r="S23" s="9"/>
      <c r="T23" s="9"/>
      <c r="U23" s="9"/>
      <c r="V23" s="9"/>
    </row>
    <row r="24" spans="1:22" x14ac:dyDescent="0.3">
      <c r="A24" s="9"/>
      <c r="B24" s="9"/>
      <c r="C24" s="9"/>
      <c r="D24" s="9"/>
      <c r="E24" s="9"/>
      <c r="F24" s="9"/>
      <c r="G24" s="9"/>
      <c r="H24" s="9"/>
      <c r="I24" s="9"/>
      <c r="J24" s="9"/>
      <c r="K24" s="9"/>
      <c r="L24" s="9"/>
      <c r="M24" s="9"/>
      <c r="N24" s="9"/>
      <c r="O24" s="9"/>
      <c r="P24" s="9"/>
      <c r="Q24" s="9"/>
      <c r="R24" s="9"/>
      <c r="S24" s="9"/>
      <c r="T24" s="9"/>
      <c r="U24" s="9"/>
      <c r="V24" s="9"/>
    </row>
    <row r="25" spans="1:22" x14ac:dyDescent="0.3">
      <c r="A25" s="9"/>
      <c r="B25" s="9"/>
      <c r="C25" s="9"/>
      <c r="D25" s="9"/>
      <c r="E25" s="9"/>
      <c r="F25" s="9"/>
      <c r="G25" s="9"/>
      <c r="H25" s="9"/>
      <c r="I25" s="9"/>
      <c r="J25" s="9"/>
      <c r="K25" s="9"/>
      <c r="L25" s="9"/>
      <c r="M25" s="9"/>
      <c r="N25" s="9"/>
      <c r="O25" s="9"/>
      <c r="P25" s="9"/>
      <c r="Q25" s="9"/>
      <c r="R25" s="9"/>
      <c r="S25" s="9"/>
      <c r="T25" s="9"/>
      <c r="U25" s="9"/>
      <c r="V25" s="9"/>
    </row>
    <row r="26" spans="1:22" x14ac:dyDescent="0.3">
      <c r="A26" s="9"/>
      <c r="B26" s="9"/>
      <c r="C26" s="9"/>
      <c r="D26" s="9"/>
      <c r="E26" s="9"/>
      <c r="F26" s="9"/>
      <c r="G26" s="9"/>
      <c r="H26" s="9"/>
      <c r="I26" s="9"/>
      <c r="J26" s="9"/>
      <c r="K26" s="9"/>
      <c r="L26" s="9"/>
      <c r="M26" s="9"/>
      <c r="N26" s="9"/>
      <c r="O26" s="9"/>
      <c r="P26" s="9"/>
      <c r="Q26" s="9"/>
      <c r="R26" s="9"/>
      <c r="S26" s="9"/>
      <c r="T26" s="9"/>
      <c r="U26" s="9"/>
      <c r="V26" s="9"/>
    </row>
    <row r="27" spans="1:22" x14ac:dyDescent="0.3">
      <c r="A27" s="9"/>
      <c r="B27" s="9"/>
      <c r="C27" s="9"/>
      <c r="D27" s="9"/>
      <c r="E27" s="9"/>
      <c r="F27" s="9"/>
      <c r="G27" s="9"/>
      <c r="H27" s="9"/>
      <c r="I27" s="9"/>
      <c r="J27" s="9"/>
      <c r="K27" s="9"/>
      <c r="L27" s="9"/>
      <c r="M27" s="9"/>
      <c r="N27" s="9"/>
      <c r="O27" s="9"/>
      <c r="P27" s="9"/>
      <c r="Q27" s="9"/>
      <c r="R27" s="9"/>
      <c r="S27" s="9"/>
      <c r="T27" s="9"/>
      <c r="U27" s="9"/>
      <c r="V27" s="9"/>
    </row>
    <row r="28" spans="1:22" x14ac:dyDescent="0.3">
      <c r="A28" s="9"/>
      <c r="B28" s="9"/>
      <c r="C28" s="9"/>
      <c r="D28" s="9"/>
      <c r="E28" s="9"/>
      <c r="F28" s="9"/>
      <c r="G28" s="9"/>
      <c r="H28" s="9"/>
      <c r="I28" s="9"/>
      <c r="J28" s="9"/>
      <c r="K28" s="9"/>
      <c r="L28" s="9"/>
      <c r="M28" s="9"/>
      <c r="N28" s="9"/>
      <c r="O28" s="9"/>
      <c r="P28" s="9"/>
      <c r="Q28" s="9"/>
      <c r="R28" s="9"/>
      <c r="S28" s="9"/>
      <c r="T28" s="9"/>
      <c r="U28" s="9"/>
      <c r="V28" s="9"/>
    </row>
    <row r="29" spans="1:22" x14ac:dyDescent="0.3">
      <c r="A29" s="9"/>
      <c r="B29" s="9"/>
      <c r="C29" s="9"/>
      <c r="D29" s="9"/>
      <c r="E29" s="9"/>
      <c r="F29" s="9"/>
      <c r="G29" s="9"/>
      <c r="H29" s="9"/>
      <c r="I29" s="9"/>
      <c r="J29" s="9"/>
      <c r="K29" s="9"/>
      <c r="L29" s="9"/>
      <c r="M29" s="9"/>
      <c r="N29" s="9"/>
      <c r="O29" s="9"/>
      <c r="P29" s="9"/>
      <c r="Q29" s="9"/>
      <c r="R29" s="9"/>
      <c r="S29" s="9"/>
      <c r="T29" s="9"/>
      <c r="U29" s="9"/>
      <c r="V29" s="9"/>
    </row>
    <row r="30" spans="1:22" x14ac:dyDescent="0.3">
      <c r="A30" s="9"/>
      <c r="B30" s="9"/>
      <c r="C30" s="9"/>
      <c r="D30" s="9"/>
      <c r="E30" s="9"/>
      <c r="F30" s="9"/>
      <c r="G30" s="9"/>
      <c r="H30" s="9"/>
      <c r="I30" s="9"/>
      <c r="J30" s="9"/>
      <c r="K30" s="9"/>
      <c r="L30" s="9"/>
      <c r="M30" s="9"/>
      <c r="N30" s="9"/>
      <c r="O30" s="9"/>
      <c r="P30" s="9"/>
      <c r="Q30" s="9"/>
      <c r="R30" s="9"/>
      <c r="S30" s="9"/>
      <c r="T30" s="9"/>
      <c r="U30" s="9"/>
      <c r="V30" s="9"/>
    </row>
    <row r="31" spans="1:22" x14ac:dyDescent="0.3">
      <c r="A31" s="9"/>
      <c r="B31" s="9"/>
      <c r="C31" s="9"/>
      <c r="D31" s="9"/>
      <c r="E31" s="9"/>
      <c r="F31" s="9"/>
      <c r="G31" s="9"/>
      <c r="H31" s="9"/>
      <c r="I31" s="9"/>
      <c r="J31" s="9"/>
      <c r="K31" s="9"/>
      <c r="L31" s="9"/>
      <c r="M31" s="9"/>
      <c r="N31" s="9"/>
      <c r="O31" s="9"/>
      <c r="P31" s="9"/>
      <c r="Q31" s="9"/>
      <c r="R31" s="9"/>
      <c r="S31" s="9"/>
      <c r="T31" s="9"/>
      <c r="U31" s="9"/>
      <c r="V31" s="9"/>
    </row>
    <row r="32" spans="1:22" x14ac:dyDescent="0.3">
      <c r="A32" s="9"/>
      <c r="B32" s="9"/>
      <c r="C32" s="9"/>
      <c r="D32" s="9"/>
      <c r="E32" s="9"/>
      <c r="F32" s="9"/>
      <c r="G32" s="9"/>
      <c r="H32" s="9"/>
      <c r="I32" s="9"/>
      <c r="J32" s="9"/>
      <c r="K32" s="9"/>
      <c r="L32" s="9"/>
      <c r="M32" s="9"/>
      <c r="N32" s="9"/>
      <c r="O32" s="9"/>
      <c r="P32" s="9"/>
      <c r="Q32" s="9"/>
      <c r="R32" s="9"/>
      <c r="S32" s="9"/>
      <c r="T32" s="9"/>
      <c r="U32" s="9"/>
      <c r="V32" s="9"/>
    </row>
    <row r="33" spans="1:22" x14ac:dyDescent="0.3">
      <c r="A33" s="9"/>
      <c r="B33" s="9"/>
      <c r="C33" s="9"/>
      <c r="D33" s="9"/>
      <c r="E33" s="9"/>
      <c r="F33" s="9"/>
      <c r="G33" s="9"/>
      <c r="H33" s="9"/>
      <c r="I33" s="9"/>
      <c r="J33" s="9"/>
      <c r="K33" s="9"/>
      <c r="L33" s="9"/>
      <c r="M33" s="9"/>
      <c r="N33" s="9"/>
      <c r="O33" s="9"/>
      <c r="P33" s="9"/>
      <c r="Q33" s="9"/>
      <c r="R33" s="9"/>
      <c r="S33" s="9"/>
      <c r="T33" s="9"/>
      <c r="U33" s="9"/>
      <c r="V33" s="9"/>
    </row>
    <row r="34" spans="1:22" x14ac:dyDescent="0.3">
      <c r="A34" s="9"/>
      <c r="B34" s="9"/>
      <c r="C34" s="9"/>
      <c r="D34" s="9"/>
      <c r="E34" s="9"/>
      <c r="F34" s="9"/>
      <c r="G34" s="9"/>
      <c r="H34" s="9"/>
      <c r="I34" s="9"/>
      <c r="J34" s="9"/>
      <c r="K34" s="9"/>
      <c r="L34" s="9"/>
      <c r="M34" s="9"/>
      <c r="N34" s="9"/>
      <c r="O34" s="9"/>
      <c r="P34" s="9"/>
      <c r="Q34" s="9"/>
      <c r="R34" s="9"/>
      <c r="S34" s="9"/>
      <c r="T34" s="9"/>
      <c r="U34" s="9"/>
      <c r="V34" s="9"/>
    </row>
    <row r="35" spans="1:22" x14ac:dyDescent="0.3">
      <c r="A35" s="9"/>
      <c r="B35" s="9"/>
      <c r="C35" s="9"/>
      <c r="D35" s="9"/>
      <c r="E35" s="9"/>
      <c r="F35" s="9"/>
      <c r="G35" s="9"/>
      <c r="H35" s="9"/>
      <c r="I35" s="9"/>
      <c r="J35" s="9"/>
      <c r="K35" s="9"/>
      <c r="L35" s="9"/>
      <c r="M35" s="9"/>
      <c r="N35" s="9"/>
      <c r="O35" s="9"/>
      <c r="P35" s="9"/>
      <c r="Q35" s="9"/>
      <c r="R35" s="9"/>
      <c r="S35" s="9"/>
      <c r="T35" s="9"/>
      <c r="U35" s="9"/>
      <c r="V35" s="9"/>
    </row>
    <row r="36" spans="1:22" x14ac:dyDescent="0.3">
      <c r="A36" s="9"/>
      <c r="B36" s="9"/>
      <c r="C36" s="9"/>
      <c r="D36" s="9"/>
      <c r="E36" s="9"/>
      <c r="F36" s="9"/>
      <c r="G36" s="9"/>
      <c r="H36" s="9"/>
      <c r="I36" s="9"/>
      <c r="J36" s="9"/>
      <c r="K36" s="9"/>
      <c r="L36" s="9"/>
      <c r="M36" s="9"/>
      <c r="N36" s="9"/>
      <c r="O36" s="9"/>
      <c r="P36" s="9"/>
      <c r="Q36" s="9"/>
      <c r="R36" s="9"/>
      <c r="S36" s="9"/>
      <c r="T36" s="9"/>
      <c r="U36" s="9"/>
      <c r="V36" s="9"/>
    </row>
    <row r="37" spans="1:22" x14ac:dyDescent="0.3">
      <c r="A37" s="9"/>
      <c r="B37" s="9"/>
      <c r="C37" s="9"/>
      <c r="D37" s="9"/>
      <c r="E37" s="9"/>
      <c r="F37" s="9"/>
      <c r="G37" s="9"/>
      <c r="H37" s="9"/>
      <c r="I37" s="9"/>
      <c r="J37" s="9"/>
      <c r="K37" s="9"/>
      <c r="L37" s="9"/>
      <c r="M37" s="9"/>
      <c r="N37" s="9"/>
      <c r="O37" s="9"/>
      <c r="P37" s="9"/>
      <c r="Q37" s="9"/>
      <c r="R37" s="9"/>
      <c r="S37" s="9"/>
      <c r="T37" s="9"/>
      <c r="U37" s="9"/>
      <c r="V37" s="9"/>
    </row>
    <row r="38" spans="1:22" x14ac:dyDescent="0.3">
      <c r="A38" s="9"/>
      <c r="B38" s="9"/>
      <c r="C38" s="9"/>
      <c r="D38" s="9"/>
      <c r="E38" s="9"/>
      <c r="F38" s="9"/>
      <c r="G38" s="9"/>
      <c r="H38" s="9"/>
      <c r="I38" s="9"/>
      <c r="J38" s="9"/>
      <c r="K38" s="9"/>
      <c r="L38" s="9"/>
      <c r="M38" s="9"/>
      <c r="N38" s="9"/>
      <c r="O38" s="9"/>
      <c r="P38" s="9"/>
      <c r="Q38" s="9"/>
      <c r="R38" s="9"/>
      <c r="S38" s="9"/>
      <c r="T38" s="9"/>
      <c r="U38" s="9"/>
      <c r="V38" s="9"/>
    </row>
    <row r="39" spans="1:22" x14ac:dyDescent="0.3">
      <c r="A39" s="9"/>
      <c r="B39" s="9"/>
      <c r="C39" s="9"/>
      <c r="D39" s="9"/>
      <c r="E39" s="9"/>
      <c r="F39" s="9"/>
      <c r="G39" s="9"/>
      <c r="H39" s="9"/>
      <c r="I39" s="9"/>
      <c r="J39" s="9"/>
      <c r="K39" s="9"/>
      <c r="L39" s="9"/>
      <c r="M39" s="9"/>
      <c r="N39" s="9"/>
      <c r="O39" s="9"/>
      <c r="P39" s="9"/>
      <c r="Q39" s="9"/>
      <c r="R39" s="9"/>
      <c r="S39" s="9"/>
      <c r="T39" s="9"/>
      <c r="U39" s="9"/>
      <c r="V39" s="9"/>
    </row>
    <row r="40" spans="1:22" x14ac:dyDescent="0.3">
      <c r="A40" s="9"/>
      <c r="B40" s="9"/>
      <c r="C40" s="9"/>
      <c r="D40" s="9"/>
      <c r="E40" s="9"/>
      <c r="F40" s="9"/>
      <c r="G40" s="9"/>
      <c r="H40" s="9"/>
      <c r="I40" s="9"/>
      <c r="J40" s="9"/>
      <c r="K40" s="9"/>
      <c r="L40" s="9"/>
      <c r="M40" s="9"/>
      <c r="N40" s="9"/>
      <c r="O40" s="9"/>
      <c r="P40" s="9"/>
      <c r="Q40" s="9"/>
      <c r="R40" s="9"/>
      <c r="S40" s="9"/>
      <c r="T40" s="9"/>
      <c r="U40" s="9"/>
      <c r="V40" s="9"/>
    </row>
    <row r="41" spans="1:22" x14ac:dyDescent="0.3">
      <c r="A41" s="9"/>
      <c r="B41" s="9"/>
      <c r="C41" s="9"/>
      <c r="D41" s="9"/>
      <c r="E41" s="9"/>
      <c r="F41" s="9"/>
      <c r="G41" s="9"/>
      <c r="H41" s="9"/>
      <c r="I41" s="9"/>
      <c r="J41" s="9"/>
      <c r="K41" s="9"/>
      <c r="L41" s="9"/>
      <c r="M41" s="9"/>
      <c r="N41" s="9"/>
      <c r="O41" s="9"/>
      <c r="P41" s="9"/>
      <c r="Q41" s="9"/>
      <c r="R41" s="9"/>
      <c r="S41" s="9"/>
      <c r="T41" s="9"/>
      <c r="U41" s="9"/>
      <c r="V41" s="9"/>
    </row>
    <row r="42" spans="1:22" x14ac:dyDescent="0.3">
      <c r="A42" s="9"/>
      <c r="B42" s="9"/>
      <c r="C42" s="9"/>
      <c r="D42" s="9"/>
      <c r="E42" s="9"/>
      <c r="F42" s="9"/>
      <c r="G42" s="9"/>
      <c r="H42" s="9"/>
      <c r="I42" s="9"/>
      <c r="J42" s="9"/>
      <c r="K42" s="9"/>
      <c r="L42" s="9"/>
      <c r="M42" s="9"/>
      <c r="N42" s="9"/>
      <c r="O42" s="9"/>
      <c r="P42" s="9"/>
      <c r="Q42" s="9"/>
      <c r="R42" s="9"/>
      <c r="S42" s="9"/>
      <c r="T42" s="9"/>
      <c r="U42" s="9"/>
      <c r="V42"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Calculations</vt:lpstr>
      <vt:lpstr>KPI_Summary</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Hemalatha Dodla</dc:creator>
  <cp:lastModifiedBy>Hemalatha Dodla</cp:lastModifiedBy>
  <dcterms:created xsi:type="dcterms:W3CDTF">2026-04-11T08:25:59Z</dcterms:created>
  <dcterms:modified xsi:type="dcterms:W3CDTF">2026-04-13T13:42:22Z</dcterms:modified>
</cp:coreProperties>
</file>